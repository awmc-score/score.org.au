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6075" windowWidth="19215" windowHeight="5640"/>
  </bookViews>
  <sheets>
    <sheet name="The model" sheetId="1" r:id="rId1"/>
    <sheet name="Service life prediction excel" sheetId="20" r:id="rId2"/>
    <sheet name="Low corrosion guide Const  T" sheetId="17" r:id="rId3"/>
    <sheet name="Low corrosion guide Const  RH" sheetId="18" r:id="rId4"/>
    <sheet name="Low corrosion guide Const  H2S" sheetId="19" r:id="rId5"/>
  </sheets>
  <definedNames>
    <definedName name="_Ref370982142" localSheetId="0">'The model'!$A$47</definedName>
  </definedNames>
  <calcPr calcId="145621"/>
</workbook>
</file>

<file path=xl/calcChain.xml><?xml version="1.0" encoding="utf-8"?>
<calcChain xmlns="http://schemas.openxmlformats.org/spreadsheetml/2006/main">
  <c r="O20" i="20" l="1"/>
  <c r="N20" i="20"/>
  <c r="O19" i="20"/>
  <c r="N19" i="20"/>
  <c r="N23" i="20" s="1"/>
  <c r="N18" i="20"/>
  <c r="N22" i="20" s="1"/>
  <c r="Q21" i="1"/>
  <c r="C31" i="20" l="1"/>
  <c r="N24" i="20"/>
  <c r="C33" i="20"/>
  <c r="C35" i="20" l="1"/>
  <c r="C37" i="20" s="1"/>
  <c r="B33" i="20"/>
  <c r="H33" i="20"/>
  <c r="F35" i="20" s="1"/>
  <c r="F37" i="20" s="1"/>
  <c r="F33" i="20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30" i="19"/>
  <c r="C31" i="19"/>
  <c r="C32" i="19"/>
  <c r="C33" i="19"/>
  <c r="C34" i="19"/>
  <c r="C35" i="19"/>
  <c r="C36" i="19"/>
  <c r="C37" i="19"/>
  <c r="C29" i="19"/>
  <c r="E57" i="18"/>
  <c r="E56" i="18"/>
  <c r="E48" i="18"/>
  <c r="E41" i="18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29" i="17"/>
  <c r="D32" i="18"/>
  <c r="E32" i="18" s="1"/>
  <c r="D33" i="18"/>
  <c r="E33" i="18" s="1"/>
  <c r="D34" i="18"/>
  <c r="E34" i="18" s="1"/>
  <c r="D35" i="18"/>
  <c r="E35" i="18" s="1"/>
  <c r="D37" i="18"/>
  <c r="E37" i="18" s="1"/>
  <c r="D40" i="18"/>
  <c r="E40" i="18" s="1"/>
  <c r="D41" i="18"/>
  <c r="D42" i="18"/>
  <c r="E42" i="18" s="1"/>
  <c r="D43" i="18"/>
  <c r="E43" i="18" s="1"/>
  <c r="D45" i="18"/>
  <c r="E45" i="18" s="1"/>
  <c r="D48" i="18"/>
  <c r="D49" i="18"/>
  <c r="E49" i="18" s="1"/>
  <c r="D50" i="18"/>
  <c r="E50" i="18" s="1"/>
  <c r="D51" i="18"/>
  <c r="E51" i="18" s="1"/>
  <c r="D53" i="18"/>
  <c r="E53" i="18" s="1"/>
  <c r="D56" i="18"/>
  <c r="D57" i="18"/>
  <c r="D58" i="18"/>
  <c r="E58" i="18" s="1"/>
  <c r="D59" i="18"/>
  <c r="E59" i="18" s="1"/>
  <c r="B30" i="18"/>
  <c r="D30" i="18" s="1"/>
  <c r="E30" i="18" s="1"/>
  <c r="B31" i="18"/>
  <c r="D31" i="18" s="1"/>
  <c r="E31" i="18" s="1"/>
  <c r="B32" i="18"/>
  <c r="B33" i="18"/>
  <c r="B34" i="18"/>
  <c r="B35" i="18"/>
  <c r="B36" i="18"/>
  <c r="D36" i="18" s="1"/>
  <c r="E36" i="18" s="1"/>
  <c r="B37" i="18"/>
  <c r="B38" i="18"/>
  <c r="D38" i="18" s="1"/>
  <c r="E38" i="18" s="1"/>
  <c r="B39" i="18"/>
  <c r="D39" i="18" s="1"/>
  <c r="E39" i="18" s="1"/>
  <c r="B40" i="18"/>
  <c r="B41" i="18"/>
  <c r="B42" i="18"/>
  <c r="B43" i="18"/>
  <c r="B44" i="18"/>
  <c r="D44" i="18" s="1"/>
  <c r="E44" i="18" s="1"/>
  <c r="B45" i="18"/>
  <c r="B46" i="18"/>
  <c r="D46" i="18" s="1"/>
  <c r="E46" i="18" s="1"/>
  <c r="B47" i="18"/>
  <c r="D47" i="18" s="1"/>
  <c r="E47" i="18" s="1"/>
  <c r="B48" i="18"/>
  <c r="B49" i="18"/>
  <c r="B50" i="18"/>
  <c r="B51" i="18"/>
  <c r="B52" i="18"/>
  <c r="D52" i="18" s="1"/>
  <c r="E52" i="18" s="1"/>
  <c r="B53" i="18"/>
  <c r="B54" i="18"/>
  <c r="D54" i="18" s="1"/>
  <c r="E54" i="18" s="1"/>
  <c r="B55" i="18"/>
  <c r="D55" i="18" s="1"/>
  <c r="E55" i="18" s="1"/>
  <c r="B56" i="18"/>
  <c r="B57" i="18"/>
  <c r="B58" i="18"/>
  <c r="B59" i="18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B29" i="18"/>
  <c r="D29" i="18" s="1"/>
  <c r="E29" i="18" s="1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29" i="17"/>
  <c r="Q22" i="1"/>
  <c r="H35" i="20" l="1"/>
  <c r="H37" i="20" s="1"/>
  <c r="E58" i="19"/>
  <c r="E50" i="19"/>
  <c r="E42" i="19"/>
  <c r="E34" i="19"/>
  <c r="E57" i="19"/>
  <c r="E41" i="19"/>
  <c r="B25" i="19"/>
  <c r="D59" i="19"/>
  <c r="E59" i="19" s="1"/>
  <c r="D58" i="19"/>
  <c r="D57" i="19"/>
  <c r="D56" i="19"/>
  <c r="E56" i="19" s="1"/>
  <c r="D55" i="19"/>
  <c r="E55" i="19" s="1"/>
  <c r="D54" i="19"/>
  <c r="E54" i="19" s="1"/>
  <c r="D53" i="19"/>
  <c r="E53" i="19" s="1"/>
  <c r="D52" i="19"/>
  <c r="E52" i="19" s="1"/>
  <c r="D51" i="19"/>
  <c r="E51" i="19" s="1"/>
  <c r="D50" i="19"/>
  <c r="D49" i="19"/>
  <c r="E49" i="19" s="1"/>
  <c r="D48" i="19"/>
  <c r="E48" i="19" s="1"/>
  <c r="D47" i="19"/>
  <c r="E47" i="19" s="1"/>
  <c r="D46" i="19"/>
  <c r="E46" i="19" s="1"/>
  <c r="D45" i="19"/>
  <c r="E45" i="19" s="1"/>
  <c r="D44" i="19"/>
  <c r="E44" i="19" s="1"/>
  <c r="D43" i="19"/>
  <c r="E43" i="19" s="1"/>
  <c r="D42" i="19"/>
  <c r="D41" i="19"/>
  <c r="D40" i="19"/>
  <c r="E40" i="19" s="1"/>
  <c r="D39" i="19"/>
  <c r="E39" i="19" s="1"/>
  <c r="D38" i="19"/>
  <c r="E38" i="19" s="1"/>
  <c r="D37" i="19"/>
  <c r="E37" i="19" s="1"/>
  <c r="D36" i="19"/>
  <c r="E36" i="19" s="1"/>
  <c r="D35" i="19"/>
  <c r="E35" i="19" s="1"/>
  <c r="D34" i="19"/>
  <c r="D33" i="19"/>
  <c r="E33" i="19" s="1"/>
  <c r="D32" i="19"/>
  <c r="E32" i="19" s="1"/>
  <c r="D31" i="19"/>
  <c r="E31" i="19" s="1"/>
  <c r="D30" i="19"/>
  <c r="E30" i="19" s="1"/>
  <c r="D29" i="19"/>
  <c r="E29" i="19" s="1"/>
  <c r="B26" i="19"/>
  <c r="B25" i="18"/>
  <c r="B26" i="18"/>
  <c r="B26" i="17"/>
  <c r="B25" i="17"/>
</calcChain>
</file>

<file path=xl/sharedStrings.xml><?xml version="1.0" encoding="utf-8"?>
<sst xmlns="http://schemas.openxmlformats.org/spreadsheetml/2006/main" count="168" uniqueCount="77">
  <si>
    <t>B=</t>
  </si>
  <si>
    <t>[H2S] =</t>
  </si>
  <si>
    <t>the concentration of H2S in the sewer gas (ppm)</t>
  </si>
  <si>
    <t>T =</t>
  </si>
  <si>
    <t>the sewer gas temperature (C)</t>
  </si>
  <si>
    <t>the relative humidity of the sewer gas (%)</t>
  </si>
  <si>
    <t>RH =</t>
  </si>
  <si>
    <t>Biotic constant</t>
  </si>
  <si>
    <t>[H2S] exponent n=</t>
  </si>
  <si>
    <t>T exponent  Ea=</t>
  </si>
  <si>
    <t>R=</t>
  </si>
  <si>
    <t>Service Life prediction</t>
  </si>
  <si>
    <t>UON/SCORe</t>
  </si>
  <si>
    <t>DATE OF PIPE INSTALLATION</t>
  </si>
  <si>
    <t>(mm)</t>
  </si>
  <si>
    <t>DEPTH OF CONCRETE COVER OVER REINFORCING</t>
  </si>
  <si>
    <t>ENVIRONMENTAL CONDITIONS</t>
  </si>
  <si>
    <t>PIPE DETAILS</t>
  </si>
  <si>
    <t>Average H2S concenrtation in sewer gas</t>
  </si>
  <si>
    <t>(ppm)</t>
  </si>
  <si>
    <t>Average sewer gas temperature</t>
  </si>
  <si>
    <t>Average sewer humidity</t>
  </si>
  <si>
    <t>CALCULATIONS AND RESULTS</t>
  </si>
  <si>
    <t>mm/yr</t>
  </si>
  <si>
    <t>(%) leave blank if unknown (assumed to be 95%)</t>
  </si>
  <si>
    <t>years</t>
  </si>
  <si>
    <t>Total service life :</t>
  </si>
  <si>
    <t>Date</t>
  </si>
  <si>
    <t>Expected end date of pipe service life :</t>
  </si>
  <si>
    <t>Losses</t>
  </si>
  <si>
    <t xml:space="preserve">Remaining Cover </t>
  </si>
  <si>
    <t>[RH] exponent C=</t>
  </si>
  <si>
    <t>Data for plot</t>
  </si>
  <si>
    <t xml:space="preserve"> ppm</t>
  </si>
  <si>
    <t>Average</t>
  </si>
  <si>
    <t>Min</t>
  </si>
  <si>
    <t>max</t>
  </si>
  <si>
    <t>Range</t>
  </si>
  <si>
    <t>Low corrosion conditions guide</t>
  </si>
  <si>
    <t>(°C)</t>
  </si>
  <si>
    <t>(%)</t>
  </si>
  <si>
    <t>H2S</t>
  </si>
  <si>
    <t>Rate of corrosion</t>
  </si>
  <si>
    <t>Temperature</t>
  </si>
  <si>
    <t>Relative Humidity</t>
  </si>
  <si>
    <t>maximum allowed corrosion rate =</t>
  </si>
  <si>
    <t>(mm/yr)</t>
  </si>
  <si>
    <t>Sewer gas temperature</t>
  </si>
  <si>
    <t>Sewer gas H2S concentration</t>
  </si>
  <si>
    <t>Sewer gas humidity</t>
  </si>
  <si>
    <t>Humidity</t>
  </si>
  <si>
    <t>Const a=</t>
  </si>
  <si>
    <t>[RH] exponent A=</t>
  </si>
  <si>
    <t>[RH] exponent b=</t>
  </si>
  <si>
    <t>For example</t>
  </si>
  <si>
    <t>Tin =</t>
  </si>
  <si>
    <t>CR =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</si>
  <si>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 (ppm)</t>
    </r>
  </si>
  <si>
    <r>
      <t>Calculation of t</t>
    </r>
    <r>
      <rPr>
        <b/>
        <vertAlign val="subscript"/>
        <sz val="11"/>
        <color theme="1"/>
        <rFont val="Calibri"/>
        <family val="2"/>
        <scheme val="minor"/>
      </rPr>
      <t>in</t>
    </r>
  </si>
  <si>
    <t>Calculation of CR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</si>
  <si>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in</t>
    </r>
    <r>
      <rPr>
        <b/>
        <sz val="14"/>
        <color theme="1"/>
        <rFont val="Calibri"/>
        <family val="2"/>
        <scheme val="minor"/>
      </rPr>
      <t xml:space="preserve"> constants</t>
    </r>
  </si>
  <si>
    <t>CR constants</t>
  </si>
  <si>
    <t>H2S =</t>
  </si>
  <si>
    <t>ppm</t>
  </si>
  <si>
    <t xml:space="preserve">°C </t>
  </si>
  <si>
    <t xml:space="preserve">% </t>
  </si>
  <si>
    <t>to</t>
  </si>
  <si>
    <t>(range</t>
  </si>
  <si>
    <t>mm/yr )</t>
  </si>
  <si>
    <t xml:space="preserve"> years )</t>
  </si>
  <si>
    <t>)</t>
  </si>
  <si>
    <r>
      <t>Estimated time to start of corrosion, t</t>
    </r>
    <r>
      <rPr>
        <vertAlign val="subscript"/>
        <sz val="11"/>
        <color theme="1"/>
        <rFont val="Calibri"/>
        <family val="2"/>
        <scheme val="minor"/>
      </rPr>
      <t xml:space="preserve">in </t>
    </r>
    <r>
      <rPr>
        <sz val="11"/>
        <color theme="1"/>
        <rFont val="Calibri"/>
        <family val="2"/>
        <scheme val="minor"/>
      </rPr>
      <t>:</t>
    </r>
  </si>
  <si>
    <t>(°C) leave blank if unknown (assumed to be 22°C)</t>
  </si>
  <si>
    <t>(year)</t>
  </si>
  <si>
    <t>To operate:</t>
  </si>
  <si>
    <t xml:space="preserve">1. Fill in yellow cells </t>
  </si>
  <si>
    <t>2. click on replot data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</si>
</sst>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"/>
    <numFmt numFmtId="165" formatCode="mmm\ yyyy"/>
    <numFmt numFmtId="166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9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0" fontId="1" fillId="0" borderId="0" xfId="0" applyFont="1" applyAlignment="1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14" fontId="0" fillId="0" borderId="0" xfId="0" applyNumberFormat="1" applyAlignment="1">
      <alignment horizontal="center"/>
    </xf>
    <xf numFmtId="43" fontId="0" fillId="0" borderId="0" xfId="1" applyFont="1"/>
    <xf numFmtId="0" fontId="1" fillId="0" borderId="0" xfId="0" applyFont="1" applyAlignment="1">
      <alignment horizontal="center"/>
    </xf>
    <xf numFmtId="164" fontId="0" fillId="6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11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6" fontId="0" fillId="0" borderId="0" xfId="1" applyNumberFormat="1" applyFont="1"/>
    <xf numFmtId="1" fontId="0" fillId="0" borderId="0" xfId="0" applyNumberFormat="1"/>
    <xf numFmtId="2" fontId="0" fillId="0" borderId="0" xfId="0" applyNumberFormat="1"/>
    <xf numFmtId="0" fontId="0" fillId="7" borderId="0" xfId="0" quotePrefix="1" applyFill="1" applyBorder="1" applyAlignment="1">
      <alignment horizontal="right"/>
    </xf>
    <xf numFmtId="164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0" fontId="1" fillId="7" borderId="4" xfId="0" applyFont="1" applyFill="1" applyBorder="1"/>
    <xf numFmtId="0" fontId="0" fillId="7" borderId="5" xfId="0" applyFill="1" applyBorder="1"/>
    <xf numFmtId="0" fontId="0" fillId="7" borderId="4" xfId="0" applyFill="1" applyBorder="1"/>
    <xf numFmtId="164" fontId="1" fillId="7" borderId="0" xfId="0" applyNumberFormat="1" applyFont="1" applyFill="1" applyAlignment="1">
      <alignment horizontal="center"/>
    </xf>
    <xf numFmtId="0" fontId="0" fillId="7" borderId="0" xfId="0" applyFill="1"/>
    <xf numFmtId="164" fontId="0" fillId="7" borderId="0" xfId="0" applyNumberFormat="1" applyFill="1" applyAlignment="1">
      <alignment horizontal="center"/>
    </xf>
    <xf numFmtId="165" fontId="1" fillId="7" borderId="0" xfId="0" applyNumberFormat="1" applyFont="1" applyFill="1" applyBorder="1" applyAlignment="1">
      <alignment horizontal="center"/>
    </xf>
    <xf numFmtId="164" fontId="1" fillId="7" borderId="0" xfId="0" applyNumberFormat="1" applyFont="1" applyFill="1" applyBorder="1" applyAlignment="1">
      <alignment horizontal="center"/>
    </xf>
    <xf numFmtId="14" fontId="1" fillId="7" borderId="0" xfId="0" applyNumberFormat="1" applyFont="1" applyFill="1" applyBorder="1" applyAlignment="1">
      <alignment horizontal="center"/>
    </xf>
    <xf numFmtId="164" fontId="0" fillId="7" borderId="0" xfId="0" applyNumberFormat="1" applyFill="1" applyBorder="1"/>
    <xf numFmtId="165" fontId="0" fillId="7" borderId="0" xfId="0" applyNumberFormat="1" applyFont="1" applyFill="1" applyBorder="1" applyAlignment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2" fillId="7" borderId="4" xfId="0" applyFont="1" applyFill="1" applyBorder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3" fillId="7" borderId="0" xfId="0" applyFont="1" applyFill="1" applyBorder="1" applyAlignment="1"/>
    <xf numFmtId="2" fontId="0" fillId="0" borderId="0" xfId="0" applyNumberFormat="1" applyAlignment="1">
      <alignment horizontal="center"/>
    </xf>
    <xf numFmtId="14" fontId="0" fillId="0" borderId="0" xfId="0" applyNumberFormat="1"/>
    <xf numFmtId="1" fontId="0" fillId="8" borderId="0" xfId="0" applyNumberFormat="1" applyFill="1" applyBorder="1" applyAlignment="1">
      <alignment horizontal="center"/>
    </xf>
    <xf numFmtId="1" fontId="1" fillId="7" borderId="0" xfId="0" quotePrefix="1" applyNumberFormat="1" applyFont="1" applyFill="1" applyAlignment="1">
      <alignment horizontal="center"/>
    </xf>
    <xf numFmtId="2" fontId="1" fillId="7" borderId="0" xfId="0" quotePrefix="1" applyNumberFormat="1" applyFont="1" applyFill="1" applyAlignment="1">
      <alignment horizont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Border="1" applyAlignment="1">
      <alignment horizontal="left"/>
    </xf>
    <xf numFmtId="0" fontId="10" fillId="7" borderId="4" xfId="0" applyFont="1" applyFill="1" applyBorder="1" applyAlignment="1">
      <alignment horizontal="left"/>
    </xf>
    <xf numFmtId="0" fontId="8" fillId="7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solidFill>
                  <a:srgbClr val="C00000"/>
                </a:solidFill>
              </a:defRPr>
            </a:pPr>
            <a:r>
              <a:rPr lang="en-US" sz="1800">
                <a:solidFill>
                  <a:srgbClr val="C00000"/>
                </a:solidFill>
              </a:rPr>
              <a:t>Cumulative Losses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1910873909257756E-2"/>
          <c:y val="7.2135463660576979E-2"/>
          <c:w val="0.85375415781857822"/>
          <c:h val="0.7516056054699598"/>
        </c:manualLayout>
      </c:layout>
      <c:areaChart>
        <c:grouping val="stacked"/>
        <c:varyColors val="0"/>
        <c:ser>
          <c:idx val="1"/>
          <c:order val="1"/>
          <c:spPr>
            <a:noFill/>
          </c:spPr>
          <c:cat>
            <c:numRef>
              <c:f>'Service life prediction excel'!$B$51:$B$150</c:f>
              <c:numCache>
                <c:formatCode>0.00</c:formatCode>
                <c:ptCount val="100"/>
              </c:numCache>
            </c:numRef>
          </c:cat>
          <c:val>
            <c:numRef>
              <c:f>'Service life prediction excel'!$D$51:$D$150</c:f>
              <c:numCache>
                <c:formatCode>0.0</c:formatCode>
                <c:ptCount val="100"/>
              </c:numCache>
            </c:numRef>
          </c:val>
        </c:ser>
        <c:ser>
          <c:idx val="2"/>
          <c:order val="2"/>
          <c:spPr>
            <a:solidFill>
              <a:schemeClr val="accent2">
                <a:lumMod val="40000"/>
                <a:lumOff val="60000"/>
                <a:alpha val="65000"/>
              </a:schemeClr>
            </a:solidFill>
            <a:ln>
              <a:noFill/>
            </a:ln>
          </c:spPr>
          <c:cat>
            <c:numRef>
              <c:f>'Service life prediction excel'!$B$51:$B$150</c:f>
              <c:numCache>
                <c:formatCode>0.00</c:formatCode>
                <c:ptCount val="100"/>
              </c:numCache>
            </c:numRef>
          </c:cat>
          <c:val>
            <c:numRef>
              <c:f>'Service life prediction excel'!$F$51:$F$150</c:f>
              <c:numCache>
                <c:formatCode>0.0</c:formatCode>
                <c:ptCount val="10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4000"/>
        <c:axId val="137185920"/>
      </c:areaChart>
      <c:lineChart>
        <c:grouping val="standard"/>
        <c:varyColors val="0"/>
        <c:ser>
          <c:idx val="0"/>
          <c:order val="0"/>
          <c:spPr>
            <a:ln w="41275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'Service life prediction excel'!$B$51:$B$150</c:f>
              <c:numCache>
                <c:formatCode>0.00</c:formatCode>
                <c:ptCount val="100"/>
              </c:numCache>
            </c:numRef>
          </c:cat>
          <c:val>
            <c:numRef>
              <c:f>'Service life prediction excel'!$C$51:$C$150</c:f>
              <c:numCache>
                <c:formatCode>0.0</c:formatCode>
                <c:ptCount val="1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184000"/>
        <c:axId val="137185920"/>
      </c:lineChart>
      <c:catAx>
        <c:axId val="13718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>
                    <a:solidFill>
                      <a:srgbClr val="C00000"/>
                    </a:solidFill>
                  </a:defRPr>
                </a:pPr>
                <a:r>
                  <a:rPr lang="en-US" sz="1600">
                    <a:solidFill>
                      <a:srgbClr val="C00000"/>
                    </a:solidFill>
                  </a:rPr>
                  <a:t>Date</a:t>
                </a:r>
              </a:p>
            </c:rich>
          </c:tx>
          <c:layout>
            <c:manualLayout>
              <c:xMode val="edge"/>
              <c:yMode val="edge"/>
              <c:x val="0.49537105594497577"/>
              <c:y val="0.93573731956854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600">
                <a:solidFill>
                  <a:srgbClr val="C00000"/>
                </a:solidFill>
              </a:defRPr>
            </a:pPr>
            <a:endParaRPr lang="en-US"/>
          </a:p>
        </c:txPr>
        <c:crossAx val="137185920"/>
        <c:crosses val="autoZero"/>
        <c:auto val="1"/>
        <c:lblAlgn val="ctr"/>
        <c:lblOffset val="100"/>
        <c:tickLblSkip val="10"/>
        <c:noMultiLvlLbl val="0"/>
      </c:catAx>
      <c:valAx>
        <c:axId val="13718592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>
                    <a:solidFill>
                      <a:srgbClr val="C00000"/>
                    </a:solidFill>
                  </a:defRPr>
                </a:pPr>
                <a:r>
                  <a:rPr lang="en-US" sz="1600">
                    <a:solidFill>
                      <a:srgbClr val="C00000"/>
                    </a:solidFill>
                  </a:rPr>
                  <a:t>Losses (mm)</a:t>
                </a:r>
              </a:p>
            </c:rich>
          </c:tx>
          <c:layout>
            <c:manualLayout>
              <c:xMode val="edge"/>
              <c:yMode val="edge"/>
              <c:x val="9.5214113541223621E-4"/>
              <c:y val="0.3600232007409420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rgbClr val="C00000"/>
                </a:solidFill>
              </a:defRPr>
            </a:pPr>
            <a:endParaRPr lang="en-US"/>
          </a:p>
        </c:txPr>
        <c:crossAx val="137184000"/>
        <c:crosses val="autoZero"/>
        <c:crossBetween val="between"/>
      </c:valAx>
      <c:spPr>
        <a:ln w="19050">
          <a:solidFill>
            <a:schemeClr val="tx1"/>
          </a:solidFill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solidFill>
                  <a:schemeClr val="tx1"/>
                </a:solidFill>
              </a:defRPr>
            </a:pPr>
            <a:r>
              <a:rPr lang="en-US" sz="1800">
                <a:solidFill>
                  <a:schemeClr val="tx1"/>
                </a:solidFill>
              </a:rPr>
              <a:t>Remaining</a:t>
            </a:r>
            <a:r>
              <a:rPr lang="en-US" sz="1800" baseline="0">
                <a:solidFill>
                  <a:schemeClr val="tx1"/>
                </a:solidFill>
              </a:rPr>
              <a:t> cover</a:t>
            </a:r>
            <a:endParaRPr lang="en-US" sz="1800">
              <a:solidFill>
                <a:schemeClr val="tx1"/>
              </a:solidFill>
            </a:endParaRP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1910873909257756E-2"/>
          <c:y val="7.2135463660576979E-2"/>
          <c:w val="0.85375415781857822"/>
          <c:h val="0.7516056054699598"/>
        </c:manualLayout>
      </c:layout>
      <c:areaChart>
        <c:grouping val="stacked"/>
        <c:varyColors val="0"/>
        <c:ser>
          <c:idx val="1"/>
          <c:order val="1"/>
          <c:spPr>
            <a:noFill/>
          </c:spPr>
          <c:cat>
            <c:numRef>
              <c:f>'Service life prediction excel'!$B$51:$B$150</c:f>
              <c:numCache>
                <c:formatCode>0.00</c:formatCode>
                <c:ptCount val="100"/>
              </c:numCache>
            </c:numRef>
          </c:cat>
          <c:val>
            <c:numRef>
              <c:f>'Service life prediction excel'!$H$51:$H$150</c:f>
              <c:numCache>
                <c:formatCode>0.0</c:formatCode>
                <c:ptCount val="100"/>
              </c:numCache>
            </c:numRef>
          </c:val>
        </c:ser>
        <c:ser>
          <c:idx val="2"/>
          <c:order val="2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cat>
            <c:numRef>
              <c:f>'Service life prediction excel'!$B$51:$B$150</c:f>
              <c:numCache>
                <c:formatCode>0.00</c:formatCode>
                <c:ptCount val="100"/>
              </c:numCache>
            </c:numRef>
          </c:cat>
          <c:val>
            <c:numRef>
              <c:f>'Service life prediction excel'!$J$51:$J$150</c:f>
              <c:numCache>
                <c:formatCode>0.0</c:formatCode>
                <c:ptCount val="10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09728"/>
        <c:axId val="137211904"/>
      </c:areaChart>
      <c:lineChart>
        <c:grouping val="standard"/>
        <c:varyColors val="0"/>
        <c:ser>
          <c:idx val="0"/>
          <c:order val="0"/>
          <c:spPr>
            <a:ln w="412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'Service life prediction excel'!$B$51:$B$150</c:f>
              <c:numCache>
                <c:formatCode>0.00</c:formatCode>
                <c:ptCount val="100"/>
              </c:numCache>
            </c:numRef>
          </c:cat>
          <c:val>
            <c:numRef>
              <c:f>'Service life prediction excel'!$G$51:$G$150</c:f>
              <c:numCache>
                <c:formatCode>0.0</c:formatCode>
                <c:ptCount val="1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09728"/>
        <c:axId val="137211904"/>
      </c:lineChart>
      <c:catAx>
        <c:axId val="137209728"/>
        <c:scaling>
          <c:orientation val="minMax"/>
        </c:scaling>
        <c:delete val="0"/>
        <c:axPos val="b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Date</a:t>
                </a:r>
              </a:p>
            </c:rich>
          </c:tx>
          <c:layout>
            <c:manualLayout>
              <c:xMode val="edge"/>
              <c:yMode val="edge"/>
              <c:x val="0.49537105594497577"/>
              <c:y val="0.93573731956854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600"/>
            </a:pPr>
            <a:endParaRPr lang="en-US"/>
          </a:p>
        </c:txPr>
        <c:crossAx val="137211904"/>
        <c:crosses val="autoZero"/>
        <c:auto val="1"/>
        <c:lblAlgn val="ctr"/>
        <c:lblOffset val="100"/>
        <c:tickLblSkip val="10"/>
        <c:noMultiLvlLbl val="0"/>
      </c:catAx>
      <c:valAx>
        <c:axId val="137211904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>
                    <a:solidFill>
                      <a:schemeClr val="tx1"/>
                    </a:solidFill>
                  </a:defRPr>
                </a:pPr>
                <a:r>
                  <a:rPr lang="en-US" sz="1600">
                    <a:solidFill>
                      <a:schemeClr val="tx1"/>
                    </a:solidFill>
                  </a:rPr>
                  <a:t>Losses (mm)</a:t>
                </a:r>
              </a:p>
            </c:rich>
          </c:tx>
          <c:layout>
            <c:manualLayout>
              <c:xMode val="edge"/>
              <c:yMode val="edge"/>
              <c:x val="8.2614720396788268E-3"/>
              <c:y val="0.390369613840110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tx1"/>
                </a:solidFill>
              </a:defRPr>
            </a:pPr>
            <a:endParaRPr lang="en-US"/>
          </a:p>
        </c:txPr>
        <c:crossAx val="137209728"/>
        <c:crosses val="autoZero"/>
        <c:crossBetween val="between"/>
      </c:valAx>
      <c:spPr>
        <a:ln w="19050">
          <a:solidFill>
            <a:schemeClr val="tx1"/>
          </a:solidFill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'Low corrosion guide Const  T'!$B$25</c:f>
          <c:strCache>
            <c:ptCount val="1"/>
            <c:pt idx="0">
              <c:v>Temperature = 20 °C</c:v>
            </c:pt>
          </c:strCache>
        </c:strRef>
      </c:tx>
      <c:layout>
        <c:manualLayout>
          <c:xMode val="edge"/>
          <c:yMode val="edge"/>
          <c:x val="0.39099764778537632"/>
          <c:y val="7.4632212591959568E-2"/>
        </c:manualLayout>
      </c:layout>
      <c:overlay val="1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67766485936663"/>
          <c:y val="0.14069302179771415"/>
          <c:w val="0.78122387815709893"/>
          <c:h val="0.72642705853927436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'Low corrosion guide Const  T'!$B$29:$B$62</c:f>
              <c:numCache>
                <c:formatCode>General</c:formatCode>
                <c:ptCount val="34"/>
                <c:pt idx="0">
                  <c:v>85</c:v>
                </c:pt>
                <c:pt idx="1">
                  <c:v>85.5</c:v>
                </c:pt>
                <c:pt idx="2">
                  <c:v>86</c:v>
                </c:pt>
                <c:pt idx="3">
                  <c:v>86.5</c:v>
                </c:pt>
                <c:pt idx="4">
                  <c:v>87</c:v>
                </c:pt>
                <c:pt idx="5">
                  <c:v>87.5</c:v>
                </c:pt>
                <c:pt idx="6">
                  <c:v>88</c:v>
                </c:pt>
                <c:pt idx="7">
                  <c:v>88.5</c:v>
                </c:pt>
                <c:pt idx="8">
                  <c:v>89</c:v>
                </c:pt>
                <c:pt idx="9">
                  <c:v>89.5</c:v>
                </c:pt>
                <c:pt idx="10">
                  <c:v>90</c:v>
                </c:pt>
                <c:pt idx="11">
                  <c:v>90.5</c:v>
                </c:pt>
                <c:pt idx="12">
                  <c:v>91</c:v>
                </c:pt>
                <c:pt idx="13">
                  <c:v>91.5</c:v>
                </c:pt>
                <c:pt idx="14">
                  <c:v>92</c:v>
                </c:pt>
                <c:pt idx="15">
                  <c:v>92.5</c:v>
                </c:pt>
                <c:pt idx="16">
                  <c:v>93</c:v>
                </c:pt>
                <c:pt idx="17">
                  <c:v>93.5</c:v>
                </c:pt>
                <c:pt idx="18">
                  <c:v>94</c:v>
                </c:pt>
                <c:pt idx="19">
                  <c:v>94.5</c:v>
                </c:pt>
                <c:pt idx="20">
                  <c:v>95</c:v>
                </c:pt>
                <c:pt idx="21">
                  <c:v>95.5</c:v>
                </c:pt>
                <c:pt idx="22">
                  <c:v>96</c:v>
                </c:pt>
                <c:pt idx="23">
                  <c:v>96.5</c:v>
                </c:pt>
                <c:pt idx="24">
                  <c:v>97</c:v>
                </c:pt>
                <c:pt idx="25">
                  <c:v>97.5</c:v>
                </c:pt>
                <c:pt idx="26">
                  <c:v>98</c:v>
                </c:pt>
                <c:pt idx="27">
                  <c:v>98.5</c:v>
                </c:pt>
                <c:pt idx="28">
                  <c:v>99</c:v>
                </c:pt>
                <c:pt idx="29">
                  <c:v>99.5</c:v>
                </c:pt>
                <c:pt idx="30">
                  <c:v>100</c:v>
                </c:pt>
              </c:numCache>
            </c:numRef>
          </c:xVal>
          <c:yVal>
            <c:numRef>
              <c:f>'Low corrosion guide Const  T'!$D$29:$D$62</c:f>
              <c:numCache>
                <c:formatCode>0.0</c:formatCode>
                <c:ptCount val="34"/>
                <c:pt idx="0">
                  <c:v>49.115868433199942</c:v>
                </c:pt>
                <c:pt idx="1">
                  <c:v>37.852076117727165</c:v>
                </c:pt>
                <c:pt idx="2">
                  <c:v>29.672551353994486</c:v>
                </c:pt>
                <c:pt idx="3">
                  <c:v>23.582925278866526</c:v>
                </c:pt>
                <c:pt idx="4">
                  <c:v>18.954643802372271</c:v>
                </c:pt>
                <c:pt idx="5">
                  <c:v>15.375526561544435</c:v>
                </c:pt>
                <c:pt idx="6">
                  <c:v>12.566763151627724</c:v>
                </c:pt>
                <c:pt idx="7">
                  <c:v>10.334680301621846</c:v>
                </c:pt>
                <c:pt idx="8">
                  <c:v>8.5416137751099583</c:v>
                </c:pt>
                <c:pt idx="9">
                  <c:v>7.0877232207483596</c:v>
                </c:pt>
                <c:pt idx="10">
                  <c:v>5.8993049292808868</c:v>
                </c:pt>
                <c:pt idx="11">
                  <c:v>4.921086558200404</c:v>
                </c:pt>
                <c:pt idx="12">
                  <c:v>4.1110308407016873</c:v>
                </c:pt>
                <c:pt idx="13">
                  <c:v>3.4367597452428034</c:v>
                </c:pt>
                <c:pt idx="14">
                  <c:v>2.8730486398674282</c:v>
                </c:pt>
                <c:pt idx="15">
                  <c:v>2.400041217999227</c:v>
                </c:pt>
                <c:pt idx="16">
                  <c:v>2.0019587736398066</c:v>
                </c:pt>
                <c:pt idx="17">
                  <c:v>1.666154148063012</c:v>
                </c:pt>
                <c:pt idx="18">
                  <c:v>1.3824096204427687</c:v>
                </c:pt>
                <c:pt idx="19">
                  <c:v>1.1424098432032372</c:v>
                </c:pt>
                <c:pt idx="20">
                  <c:v>0.93934198341638364</c:v>
                </c:pt>
                <c:pt idx="21">
                  <c:v>0.76758939314787611</c:v>
                </c:pt>
                <c:pt idx="22">
                  <c:v>0.62249479665068541</c:v>
                </c:pt>
                <c:pt idx="23">
                  <c:v>0.50017566977277583</c:v>
                </c:pt>
                <c:pt idx="24">
                  <c:v>0.39737917361611025</c:v>
                </c:pt>
                <c:pt idx="25">
                  <c:v>0.31136732822973362</c:v>
                </c:pt>
                <c:pt idx="26">
                  <c:v>0.23982549557927008</c:v>
                </c:pt>
                <c:pt idx="27">
                  <c:v>0.18078896804095523</c:v>
                </c:pt>
                <c:pt idx="28">
                  <c:v>0.13258372225356899</c:v>
                </c:pt>
                <c:pt idx="29">
                  <c:v>9.3778331167174683E-2</c:v>
                </c:pt>
                <c:pt idx="30">
                  <c:v>6.314472199116726E-2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34304"/>
        <c:axId val="137240576"/>
      </c:scatterChart>
      <c:valAx>
        <c:axId val="137234304"/>
        <c:scaling>
          <c:orientation val="minMax"/>
          <c:max val="100"/>
          <c:min val="85"/>
        </c:scaling>
        <c:delete val="0"/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Humidity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7240576"/>
        <c:crosses val="autoZero"/>
        <c:crossBetween val="midCat"/>
      </c:valAx>
      <c:valAx>
        <c:axId val="1372405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</a:t>
                </a:r>
                <a:r>
                  <a:rPr lang="en-US" baseline="-25000"/>
                  <a:t>2</a:t>
                </a:r>
                <a:r>
                  <a:rPr lang="en-US"/>
                  <a:t>S (ppm)</a:t>
                </a:r>
              </a:p>
            </c:rich>
          </c:tx>
          <c:layout>
            <c:manualLayout>
              <c:xMode val="edge"/>
              <c:yMode val="edge"/>
              <c:x val="2.3724275578381145E-2"/>
              <c:y val="0.423346818513761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723430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'Low corrosion guide Const  RH'!$B$25</c:f>
          <c:strCache>
            <c:ptCount val="1"/>
            <c:pt idx="0">
              <c:v>Relative humidity = 95 %</c:v>
            </c:pt>
          </c:strCache>
        </c:strRef>
      </c:tx>
      <c:layout>
        <c:manualLayout>
          <c:xMode val="edge"/>
          <c:yMode val="edge"/>
          <c:x val="0.39099764778537632"/>
          <c:y val="7.4632212591959568E-2"/>
        </c:manualLayout>
      </c:layout>
      <c:overlay val="1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67766485936663"/>
          <c:y val="0.14069302179771415"/>
          <c:w val="0.78122387815709893"/>
          <c:h val="0.72642705853927436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'Low corrosion guide Const  RH'!$C$29:$C$59</c:f>
              <c:numCache>
                <c:formatCode>0.0</c:formatCode>
                <c:ptCount val="31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  <c:pt idx="5">
                  <c:v>17.5</c:v>
                </c:pt>
                <c:pt idx="6">
                  <c:v>18</c:v>
                </c:pt>
                <c:pt idx="7">
                  <c:v>18.5</c:v>
                </c:pt>
                <c:pt idx="8">
                  <c:v>19</c:v>
                </c:pt>
                <c:pt idx="9">
                  <c:v>19.5</c:v>
                </c:pt>
                <c:pt idx="10">
                  <c:v>20</c:v>
                </c:pt>
                <c:pt idx="11">
                  <c:v>20.5</c:v>
                </c:pt>
                <c:pt idx="12">
                  <c:v>21</c:v>
                </c:pt>
                <c:pt idx="13">
                  <c:v>21.5</c:v>
                </c:pt>
                <c:pt idx="14">
                  <c:v>22</c:v>
                </c:pt>
                <c:pt idx="15">
                  <c:v>22.5</c:v>
                </c:pt>
                <c:pt idx="16">
                  <c:v>23</c:v>
                </c:pt>
                <c:pt idx="17">
                  <c:v>23.5</c:v>
                </c:pt>
                <c:pt idx="18">
                  <c:v>24</c:v>
                </c:pt>
                <c:pt idx="19">
                  <c:v>24.5</c:v>
                </c:pt>
                <c:pt idx="20">
                  <c:v>25</c:v>
                </c:pt>
                <c:pt idx="21">
                  <c:v>25.5</c:v>
                </c:pt>
                <c:pt idx="22">
                  <c:v>26</c:v>
                </c:pt>
                <c:pt idx="23">
                  <c:v>26.5</c:v>
                </c:pt>
                <c:pt idx="24">
                  <c:v>27</c:v>
                </c:pt>
                <c:pt idx="25">
                  <c:v>27.5</c:v>
                </c:pt>
                <c:pt idx="26">
                  <c:v>28</c:v>
                </c:pt>
                <c:pt idx="27">
                  <c:v>28.5</c:v>
                </c:pt>
                <c:pt idx="28">
                  <c:v>29</c:v>
                </c:pt>
                <c:pt idx="29">
                  <c:v>29.5</c:v>
                </c:pt>
                <c:pt idx="30">
                  <c:v>30</c:v>
                </c:pt>
              </c:numCache>
            </c:numRef>
          </c:xVal>
          <c:yVal>
            <c:numRef>
              <c:f>'Low corrosion guide Const  RH'!$D$29:$D$59</c:f>
              <c:numCache>
                <c:formatCode>0.0</c:formatCode>
                <c:ptCount val="31"/>
                <c:pt idx="0">
                  <c:v>5.7597301206036322</c:v>
                </c:pt>
                <c:pt idx="1">
                  <c:v>5.5151975576645222</c:v>
                </c:pt>
                <c:pt idx="2">
                  <c:v>5.2818391723101756</c:v>
                </c:pt>
                <c:pt idx="3">
                  <c:v>5.0591096847800561</c:v>
                </c:pt>
                <c:pt idx="4">
                  <c:v>4.8464920540424821</c:v>
                </c:pt>
                <c:pt idx="5">
                  <c:v>4.6434959336352595</c:v>
                </c:pt>
                <c:pt idx="6">
                  <c:v>4.4496562162889317</c:v>
                </c:pt>
                <c:pt idx="7">
                  <c:v>4.2645316619847566</c:v>
                </c:pt>
                <c:pt idx="8">
                  <c:v>4.0877036044351627</c:v>
                </c:pt>
                <c:pt idx="9">
                  <c:v>3.9187747312900227</c:v>
                </c:pt>
                <c:pt idx="10">
                  <c:v>3.7573679336655346</c:v>
                </c:pt>
                <c:pt idx="11">
                  <c:v>3.603125220866723</c:v>
                </c:pt>
                <c:pt idx="12">
                  <c:v>3.4557066964321836</c:v>
                </c:pt>
                <c:pt idx="13">
                  <c:v>3.3147895918696375</c:v>
                </c:pt>
                <c:pt idx="14">
                  <c:v>3.1800673546753035</c:v>
                </c:pt>
                <c:pt idx="15">
                  <c:v>3.0512487874406697</c:v>
                </c:pt>
                <c:pt idx="16">
                  <c:v>2.9280572350467642</c:v>
                </c:pt>
                <c:pt idx="17">
                  <c:v>2.8102298171300757</c:v>
                </c:pt>
                <c:pt idx="18">
                  <c:v>2.6975167031765714</c:v>
                </c:pt>
                <c:pt idx="19">
                  <c:v>2.5896804277618215</c:v>
                </c:pt>
                <c:pt idx="20">
                  <c:v>2.4864952436058427</c:v>
                </c:pt>
                <c:pt idx="21">
                  <c:v>2.3877465102531406</c:v>
                </c:pt>
                <c:pt idx="22">
                  <c:v>2.2932301163209514</c:v>
                </c:pt>
                <c:pt idx="23">
                  <c:v>2.2027519333823982</c:v>
                </c:pt>
                <c:pt idx="24">
                  <c:v>2.1161272996682183</c:v>
                </c:pt>
                <c:pt idx="25">
                  <c:v>2.033180531879502</c:v>
                </c:pt>
                <c:pt idx="26">
                  <c:v>1.9537444635059398</c:v>
                </c:pt>
                <c:pt idx="27">
                  <c:v>1.8776600081401973</c:v>
                </c:pt>
                <c:pt idx="28">
                  <c:v>1.8047757463688978</c:v>
                </c:pt>
                <c:pt idx="29">
                  <c:v>1.7349475349047512</c:v>
                </c:pt>
                <c:pt idx="30">
                  <c:v>1.668038136703698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12128"/>
        <c:axId val="137334784"/>
      </c:scatterChart>
      <c:valAx>
        <c:axId val="137312128"/>
        <c:scaling>
          <c:orientation val="minMax"/>
          <c:max val="30"/>
          <c:min val="15"/>
        </c:scaling>
        <c:delete val="0"/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(°C)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7334784"/>
        <c:crosses val="autoZero"/>
        <c:crossBetween val="midCat"/>
        <c:majorUnit val="5"/>
      </c:valAx>
      <c:valAx>
        <c:axId val="137334784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</a:t>
                </a:r>
                <a:r>
                  <a:rPr lang="en-US" baseline="-25000"/>
                  <a:t>2</a:t>
                </a:r>
                <a:r>
                  <a:rPr lang="en-US"/>
                  <a:t>S (ppm)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7312128"/>
        <c:crosses val="autoZero"/>
        <c:crossBetween val="midCat"/>
      </c:valAx>
      <c:spPr>
        <a:ln w="22225">
          <a:solidFill>
            <a:schemeClr val="tx1"/>
          </a:solidFill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'Low corrosion guide Const  H2S'!$B$25</c:f>
          <c:strCache>
            <c:ptCount val="1"/>
            <c:pt idx="0">
              <c:v>H2S =  10 ppm</c:v>
            </c:pt>
          </c:strCache>
        </c:strRef>
      </c:tx>
      <c:layout>
        <c:manualLayout>
          <c:xMode val="edge"/>
          <c:yMode val="edge"/>
          <c:x val="0.39099764778537632"/>
          <c:y val="7.4632212591959568E-2"/>
        </c:manualLayout>
      </c:layout>
      <c:overlay val="1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67766485936663"/>
          <c:y val="0.14069302179771415"/>
          <c:w val="0.78122387815709893"/>
          <c:h val="0.72642705853927436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'Low corrosion guide Const  H2S'!$B$29:$B$59</c:f>
              <c:numCache>
                <c:formatCode>General</c:formatCode>
                <c:ptCount val="31"/>
                <c:pt idx="0">
                  <c:v>85</c:v>
                </c:pt>
                <c:pt idx="1">
                  <c:v>85.5</c:v>
                </c:pt>
                <c:pt idx="2">
                  <c:v>86</c:v>
                </c:pt>
                <c:pt idx="3">
                  <c:v>86.5</c:v>
                </c:pt>
                <c:pt idx="4">
                  <c:v>87</c:v>
                </c:pt>
                <c:pt idx="5">
                  <c:v>87.5</c:v>
                </c:pt>
                <c:pt idx="6">
                  <c:v>88</c:v>
                </c:pt>
                <c:pt idx="7">
                  <c:v>88.5</c:v>
                </c:pt>
                <c:pt idx="8">
                  <c:v>89</c:v>
                </c:pt>
                <c:pt idx="9">
                  <c:v>89.5</c:v>
                </c:pt>
                <c:pt idx="10">
                  <c:v>90</c:v>
                </c:pt>
                <c:pt idx="11">
                  <c:v>90.5</c:v>
                </c:pt>
                <c:pt idx="12">
                  <c:v>91</c:v>
                </c:pt>
                <c:pt idx="13">
                  <c:v>91.5</c:v>
                </c:pt>
                <c:pt idx="14">
                  <c:v>92</c:v>
                </c:pt>
                <c:pt idx="15">
                  <c:v>92.5</c:v>
                </c:pt>
                <c:pt idx="16">
                  <c:v>93</c:v>
                </c:pt>
                <c:pt idx="17">
                  <c:v>93.5</c:v>
                </c:pt>
                <c:pt idx="18">
                  <c:v>94</c:v>
                </c:pt>
                <c:pt idx="19">
                  <c:v>94.5</c:v>
                </c:pt>
                <c:pt idx="20">
                  <c:v>95</c:v>
                </c:pt>
                <c:pt idx="21">
                  <c:v>95.5</c:v>
                </c:pt>
                <c:pt idx="22">
                  <c:v>96</c:v>
                </c:pt>
                <c:pt idx="23">
                  <c:v>96.5</c:v>
                </c:pt>
                <c:pt idx="24">
                  <c:v>97</c:v>
                </c:pt>
                <c:pt idx="25">
                  <c:v>97.5</c:v>
                </c:pt>
                <c:pt idx="26">
                  <c:v>98</c:v>
                </c:pt>
                <c:pt idx="27">
                  <c:v>98.5</c:v>
                </c:pt>
                <c:pt idx="28">
                  <c:v>99</c:v>
                </c:pt>
                <c:pt idx="29">
                  <c:v>99.5</c:v>
                </c:pt>
                <c:pt idx="30">
                  <c:v>100</c:v>
                </c:pt>
              </c:numCache>
            </c:numRef>
          </c:xVal>
          <c:yVal>
            <c:numRef>
              <c:f>'Low corrosion guide Const  H2S'!$C$29:$C$59</c:f>
              <c:numCache>
                <c:formatCode>0.0</c:formatCode>
                <c:ptCount val="31"/>
                <c:pt idx="0">
                  <c:v>60.340471431373828</c:v>
                </c:pt>
                <c:pt idx="1">
                  <c:v>56.373760354892397</c:v>
                </c:pt>
                <c:pt idx="2">
                  <c:v>52.75079128111679</c:v>
                </c:pt>
                <c:pt idx="3">
                  <c:v>49.40493035398714</c:v>
                </c:pt>
                <c:pt idx="4">
                  <c:v>46.285712776574712</c:v>
                </c:pt>
                <c:pt idx="5">
                  <c:v>43.353926819402602</c:v>
                </c:pt>
                <c:pt idx="6">
                  <c:v>40.578408585310001</c:v>
                </c:pt>
                <c:pt idx="7">
                  <c:v>37.933878871829108</c:v>
                </c:pt>
                <c:pt idx="8">
                  <c:v>35.399438463589547</c:v>
                </c:pt>
                <c:pt idx="9">
                  <c:v>32.957492368266628</c:v>
                </c:pt>
                <c:pt idx="10">
                  <c:v>30.592960638046975</c:v>
                </c:pt>
                <c:pt idx="11">
                  <c:v>28.292684507876857</c:v>
                </c:pt>
                <c:pt idx="12">
                  <c:v>26.04496747651109</c:v>
                </c:pt>
                <c:pt idx="13">
                  <c:v>23.839210097150328</c:v>
                </c:pt>
                <c:pt idx="14">
                  <c:v>21.665609286593963</c:v>
                </c:pt>
                <c:pt idx="15">
                  <c:v>19.514900540424946</c:v>
                </c:pt>
                <c:pt idx="16">
                  <c:v>17.378126064551338</c:v>
                </c:pt>
                <c:pt idx="17">
                  <c:v>15.246414342659932</c:v>
                </c:pt>
                <c:pt idx="18">
                  <c:v>13.110757466840539</c:v>
                </c:pt>
                <c:pt idx="19">
                  <c:v>10.961771750646392</c:v>
                </c:pt>
                <c:pt idx="20">
                  <c:v>8.7894244899981686</c:v>
                </c:pt>
                <c:pt idx="21">
                  <c:v>6.5827046075312978</c:v>
                </c:pt>
                <c:pt idx="22">
                  <c:v>4.3292060615160608</c:v>
                </c:pt>
                <c:pt idx="23">
                  <c:v>2.0145779927228773</c:v>
                </c:pt>
                <c:pt idx="24">
                  <c:v>-0.37822973761899448</c:v>
                </c:pt>
                <c:pt idx="25">
                  <c:v>-2.8700411011499227</c:v>
                </c:pt>
                <c:pt idx="26">
                  <c:v>-5.4870438907990433</c:v>
                </c:pt>
                <c:pt idx="27">
                  <c:v>-8.263241995097701</c:v>
                </c:pt>
                <c:pt idx="28">
                  <c:v>-11.244421412477436</c:v>
                </c:pt>
                <c:pt idx="29">
                  <c:v>-14.494939128345152</c:v>
                </c:pt>
                <c:pt idx="30">
                  <c:v>-18.110196429626086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77280"/>
        <c:axId val="137379200"/>
      </c:scatterChart>
      <c:valAx>
        <c:axId val="137377280"/>
        <c:scaling>
          <c:orientation val="minMax"/>
          <c:max val="100"/>
          <c:min val="85"/>
        </c:scaling>
        <c:delete val="0"/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Humdity (%)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7379200"/>
        <c:crosses val="autoZero"/>
        <c:crossBetween val="midCat"/>
      </c:valAx>
      <c:valAx>
        <c:axId val="137379200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 (°C)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737728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5.jpg"/><Relationship Id="rId1" Type="http://schemas.openxmlformats.org/officeDocument/2006/relationships/image" Target="../media/image4.png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5.jp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142875</xdr:rowOff>
        </xdr:from>
        <xdr:to>
          <xdr:col>9</xdr:col>
          <xdr:colOff>247650</xdr:colOff>
          <xdr:row>35</xdr:row>
          <xdr:rowOff>161925</xdr:rowOff>
        </xdr:to>
        <xdr:sp macro="" textlink="">
          <xdr:nvSpPr>
            <xdr:cNvPr id="1036" name="Object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36</xdr:row>
          <xdr:rowOff>28575</xdr:rowOff>
        </xdr:from>
        <xdr:to>
          <xdr:col>9</xdr:col>
          <xdr:colOff>257175</xdr:colOff>
          <xdr:row>62</xdr:row>
          <xdr:rowOff>9525</xdr:rowOff>
        </xdr:to>
        <xdr:sp macro="" textlink="">
          <xdr:nvSpPr>
            <xdr:cNvPr id="1038" name="Object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62</xdr:row>
      <xdr:rowOff>44931</xdr:rowOff>
    </xdr:from>
    <xdr:to>
      <xdr:col>9</xdr:col>
      <xdr:colOff>273843</xdr:colOff>
      <xdr:row>111</xdr:row>
      <xdr:rowOff>105832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891650"/>
          <a:ext cx="5738812" cy="93954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1571625</xdr:colOff>
      <xdr:row>4</xdr:row>
      <xdr:rowOff>19049</xdr:rowOff>
    </xdr:from>
    <xdr:to>
      <xdr:col>1</xdr:col>
      <xdr:colOff>2552701</xdr:colOff>
      <xdr:row>9</xdr:row>
      <xdr:rowOff>22944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885824"/>
          <a:ext cx="981076" cy="1013545"/>
        </a:xfrm>
        <a:prstGeom prst="rect">
          <a:avLst/>
        </a:prstGeom>
      </xdr:spPr>
    </xdr:pic>
    <xdr:clientData/>
  </xdr:twoCellAnchor>
  <xdr:twoCellAnchor editAs="oneCell">
    <xdr:from>
      <xdr:col>1</xdr:col>
      <xdr:colOff>76199</xdr:colOff>
      <xdr:row>4</xdr:row>
      <xdr:rowOff>0</xdr:rowOff>
    </xdr:from>
    <xdr:to>
      <xdr:col>1</xdr:col>
      <xdr:colOff>1605236</xdr:colOff>
      <xdr:row>9</xdr:row>
      <xdr:rowOff>142875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4" y="866775"/>
          <a:ext cx="1529037" cy="1152525"/>
        </a:xfrm>
        <a:prstGeom prst="rect">
          <a:avLst/>
        </a:prstGeom>
      </xdr:spPr>
    </xdr:pic>
    <xdr:clientData/>
  </xdr:twoCellAnchor>
  <xdr:twoCellAnchor>
    <xdr:from>
      <xdr:col>12</xdr:col>
      <xdr:colOff>530</xdr:colOff>
      <xdr:row>1</xdr:row>
      <xdr:rowOff>127530</xdr:rowOff>
    </xdr:from>
    <xdr:to>
      <xdr:col>23</xdr:col>
      <xdr:colOff>20637</xdr:colOff>
      <xdr:row>36</xdr:row>
      <xdr:rowOff>55562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29899</xdr:colOff>
      <xdr:row>36</xdr:row>
      <xdr:rowOff>133086</xdr:rowOff>
    </xdr:from>
    <xdr:to>
      <xdr:col>22</xdr:col>
      <xdr:colOff>569649</xdr:colOff>
      <xdr:row>72</xdr:row>
      <xdr:rowOff>92605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27</xdr:row>
          <xdr:rowOff>38100</xdr:rowOff>
        </xdr:from>
        <xdr:to>
          <xdr:col>10</xdr:col>
          <xdr:colOff>152400</xdr:colOff>
          <xdr:row>30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00"/>
                  </a:solidFill>
                  <a:latin typeface="Calibri"/>
                </a:rPr>
                <a:t>Replot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0.11184</cdr:x>
      <cdr:y>0.0812</cdr:y>
    </cdr:from>
    <cdr:to>
      <cdr:x>0.33868</cdr:x>
      <cdr:y>0.13896</cdr:y>
    </cdr:to>
    <cdr:sp macro="" textlink="'Service life prediction excel'!$N$22">
      <cdr:nvSpPr>
        <cdr:cNvPr id="5" name="TextBox 4"/>
        <cdr:cNvSpPr txBox="1"/>
      </cdr:nvSpPr>
      <cdr:spPr>
        <a:xfrm xmlns:a="http://schemas.openxmlformats.org/drawingml/2006/main">
          <a:off x="974460" y="552448"/>
          <a:ext cx="1976438" cy="39290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EE5CF1C6-2973-4A77-9882-45994CF7860C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/>
            <a:t>H2S = 3 ppm</a:t>
          </a:fld>
          <a:endParaRPr lang="en-AU" sz="1600" b="1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0.12004</cdr:x>
      <cdr:y>0.12321</cdr:y>
    </cdr:from>
    <cdr:to>
      <cdr:x>0.34551</cdr:x>
      <cdr:y>0.17221</cdr:y>
    </cdr:to>
    <cdr:sp macro="" textlink="'Service life prediction excel'!$N$23">
      <cdr:nvSpPr>
        <cdr:cNvPr id="7" name="TextBox 6"/>
        <cdr:cNvSpPr txBox="1"/>
      </cdr:nvSpPr>
      <cdr:spPr>
        <a:xfrm xmlns:a="http://schemas.openxmlformats.org/drawingml/2006/main">
          <a:off x="1045897" y="838198"/>
          <a:ext cx="1964532" cy="33337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89D2102-75C8-4E4D-99CE-E28838DC8C3A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/>
            <a:t>T = 20 °C</a:t>
          </a:fld>
          <a:endParaRPr lang="en-AU" sz="1600" b="1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0.12004</cdr:x>
      <cdr:y>0.16171</cdr:y>
    </cdr:from>
    <cdr:to>
      <cdr:x>0.34278</cdr:x>
      <cdr:y>0.21596</cdr:y>
    </cdr:to>
    <cdr:sp macro="" textlink="'Service life prediction excel'!$N$24">
      <cdr:nvSpPr>
        <cdr:cNvPr id="8" name="TextBox 7"/>
        <cdr:cNvSpPr txBox="1"/>
      </cdr:nvSpPr>
      <cdr:spPr>
        <a:xfrm xmlns:a="http://schemas.openxmlformats.org/drawingml/2006/main">
          <a:off x="1045898" y="1100136"/>
          <a:ext cx="1940718" cy="36909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E148C1-E8B5-4503-B993-172F2664E047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/>
            <a:t>RH = 100 %</a:t>
          </a:fld>
          <a:endParaRPr lang="en-AU" sz="1600" b="1">
            <a:solidFill>
              <a:srgbClr val="C00000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0.71764</cdr:x>
      <cdr:y>0.08124</cdr:y>
    </cdr:from>
    <cdr:to>
      <cdr:x>0.94419</cdr:x>
      <cdr:y>0.12483</cdr:y>
    </cdr:to>
    <cdr:sp macro="" textlink="'Service life prediction excel'!$N$22">
      <cdr:nvSpPr>
        <cdr:cNvPr id="2" name="TextBox 1"/>
        <cdr:cNvSpPr txBox="1"/>
      </cdr:nvSpPr>
      <cdr:spPr>
        <a:xfrm xmlns:a="http://schemas.openxmlformats.org/drawingml/2006/main">
          <a:off x="6185163" y="554831"/>
          <a:ext cx="1952626" cy="29765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54EA9A-5FAD-4D16-A794-F54A66BA683B}" type="TxLink">
            <a:rPr lang="en-US" sz="1600" b="1" i="0" u="none" strike="noStrike">
              <a:solidFill>
                <a:schemeClr val="tx1"/>
              </a:solidFill>
              <a:latin typeface="Calibri"/>
            </a:rPr>
            <a:pPr/>
            <a:t>H2S = 3 ppm</a:t>
          </a:fld>
          <a:endParaRPr lang="en-AU" sz="1600" b="1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0.7204</cdr:x>
      <cdr:y>0.12308</cdr:y>
    </cdr:from>
    <cdr:to>
      <cdr:x>0.94143</cdr:x>
      <cdr:y>0.17538</cdr:y>
    </cdr:to>
    <cdr:sp macro="" textlink="'Service life prediction excel'!$N$23">
      <cdr:nvSpPr>
        <cdr:cNvPr id="3" name="TextBox 2"/>
        <cdr:cNvSpPr txBox="1"/>
      </cdr:nvSpPr>
      <cdr:spPr>
        <a:xfrm xmlns:a="http://schemas.openxmlformats.org/drawingml/2006/main">
          <a:off x="6208976" y="840580"/>
          <a:ext cx="1905001" cy="35718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27B9A9F-3193-460E-919A-0443358F014D}" type="TxLink">
            <a:rPr lang="en-US" sz="1600" b="1" i="0" u="none" strike="noStrike">
              <a:solidFill>
                <a:schemeClr val="tx1"/>
              </a:solidFill>
              <a:latin typeface="Calibri"/>
            </a:rPr>
            <a:pPr/>
            <a:t>T = 20 °C</a:t>
          </a:fld>
          <a:endParaRPr lang="en-AU" sz="1600" b="1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0.7204</cdr:x>
      <cdr:y>0.17015</cdr:y>
    </cdr:from>
    <cdr:to>
      <cdr:x>0.94281</cdr:x>
      <cdr:y>0.21897</cdr:y>
    </cdr:to>
    <cdr:sp macro="" textlink="'Service life prediction excel'!$N$24">
      <cdr:nvSpPr>
        <cdr:cNvPr id="4" name="TextBox 3"/>
        <cdr:cNvSpPr txBox="1"/>
      </cdr:nvSpPr>
      <cdr:spPr>
        <a:xfrm xmlns:a="http://schemas.openxmlformats.org/drawingml/2006/main">
          <a:off x="6208976" y="1162050"/>
          <a:ext cx="1916906" cy="3333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08C067F-1612-49B8-9EBC-3601AA37CD96}" type="TxLink">
            <a:rPr lang="en-US" sz="1600" b="1" i="0" u="none" strike="noStrike">
              <a:solidFill>
                <a:schemeClr val="tx1"/>
              </a:solidFill>
              <a:latin typeface="Calibri"/>
            </a:rPr>
            <a:pPr/>
            <a:t>RH = 100 %</a:t>
          </a:fld>
          <a:endParaRPr lang="en-AU" sz="1600" b="1">
            <a:solidFill>
              <a:schemeClr val="tx1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1571625</xdr:colOff>
      <xdr:row>3</xdr:row>
      <xdr:rowOff>114300</xdr:rowOff>
    </xdr:from>
    <xdr:to>
      <xdr:col>1</xdr:col>
      <xdr:colOff>1571626</xdr:colOff>
      <xdr:row>9</xdr:row>
      <xdr:rowOff>153120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742950"/>
          <a:ext cx="1" cy="122944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3</xdr:row>
      <xdr:rowOff>123825</xdr:rowOff>
    </xdr:from>
    <xdr:to>
      <xdr:col>1</xdr:col>
      <xdr:colOff>1457325</xdr:colOff>
      <xdr:row>9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752475"/>
          <a:ext cx="1447800" cy="1219200"/>
        </a:xfrm>
        <a:prstGeom prst="rect">
          <a:avLst/>
        </a:prstGeom>
      </xdr:spPr>
    </xdr:pic>
    <xdr:clientData/>
  </xdr:twoCellAnchor>
  <xdr:twoCellAnchor editAs="oneCell">
    <xdr:from>
      <xdr:col>1</xdr:col>
      <xdr:colOff>1381125</xdr:colOff>
      <xdr:row>3</xdr:row>
      <xdr:rowOff>152400</xdr:rowOff>
    </xdr:from>
    <xdr:to>
      <xdr:col>1</xdr:col>
      <xdr:colOff>2657476</xdr:colOff>
      <xdr:row>9</xdr:row>
      <xdr:rowOff>191220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781050"/>
          <a:ext cx="1276351" cy="1229445"/>
        </a:xfrm>
        <a:prstGeom prst="rect">
          <a:avLst/>
        </a:prstGeom>
      </xdr:spPr>
    </xdr:pic>
    <xdr:clientData/>
  </xdr:twoCellAnchor>
  <xdr:twoCellAnchor>
    <xdr:from>
      <xdr:col>6</xdr:col>
      <xdr:colOff>371475</xdr:colOff>
      <xdr:row>0</xdr:row>
      <xdr:rowOff>42861</xdr:rowOff>
    </xdr:from>
    <xdr:to>
      <xdr:col>13</xdr:col>
      <xdr:colOff>523875</xdr:colOff>
      <xdr:row>22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0.1326</cdr:x>
      <cdr:y>0.79764</cdr:y>
    </cdr:from>
    <cdr:to>
      <cdr:x>0.35578</cdr:x>
      <cdr:y>0.8493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17149" y="3529030"/>
          <a:ext cx="1375386" cy="22856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AU" sz="1200" b="1"/>
            <a:t>Corrosion&lt;max</a:t>
          </a:r>
        </a:p>
      </cdr:txBody>
    </cdr:sp>
  </cdr:relSizeAnchor>
  <cdr:relSizeAnchor xmlns:cdr="http://schemas.openxmlformats.org/drawingml/2006/chartDrawing">
    <cdr:from>
      <cdr:x>0.64879</cdr:x>
      <cdr:y>0.22928</cdr:y>
    </cdr:from>
    <cdr:to>
      <cdr:x>0.87197</cdr:x>
      <cdr:y>0.28095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71874" y="1014413"/>
          <a:ext cx="1228725" cy="2286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AU" sz="1200" b="1"/>
            <a:t>Corrosion&gt;max</a:t>
          </a:r>
        </a:p>
      </cdr:txBody>
    </cdr:sp>
  </cdr:relSizeAnchor>
  <cdr:relSizeAnchor xmlns:cdr="http://schemas.openxmlformats.org/drawingml/2006/chartDrawing">
    <cdr:from>
      <cdr:x>0.34429</cdr:x>
      <cdr:y>0.01615</cdr:y>
    </cdr:from>
    <cdr:to>
      <cdr:x>0.6782</cdr:x>
      <cdr:y>0.06997</cdr:y>
    </cdr:to>
    <cdr:sp macro="" textlink="'Low corrosion guide Const  T'!$B$26">
      <cdr:nvSpPr>
        <cdr:cNvPr id="4" name="TextBox 3"/>
        <cdr:cNvSpPr txBox="1"/>
      </cdr:nvSpPr>
      <cdr:spPr>
        <a:xfrm xmlns:a="http://schemas.openxmlformats.org/drawingml/2006/main">
          <a:off x="1895474" y="71439"/>
          <a:ext cx="183832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C8364CF-652E-49F6-B851-67C51124E1F5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/>
            <a:t>Max Corrosion rate = 0.5 mm/yr</a:t>
          </a:fld>
          <a:endParaRPr lang="en-AU" sz="12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1571625</xdr:colOff>
      <xdr:row>3</xdr:row>
      <xdr:rowOff>114300</xdr:rowOff>
    </xdr:from>
    <xdr:to>
      <xdr:col>1</xdr:col>
      <xdr:colOff>1571626</xdr:colOff>
      <xdr:row>9</xdr:row>
      <xdr:rowOff>153120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742950"/>
          <a:ext cx="1" cy="122944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3</xdr:row>
      <xdr:rowOff>123825</xdr:rowOff>
    </xdr:from>
    <xdr:to>
      <xdr:col>1</xdr:col>
      <xdr:colOff>1457325</xdr:colOff>
      <xdr:row>9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752475"/>
          <a:ext cx="1447800" cy="1219200"/>
        </a:xfrm>
        <a:prstGeom prst="rect">
          <a:avLst/>
        </a:prstGeom>
      </xdr:spPr>
    </xdr:pic>
    <xdr:clientData/>
  </xdr:twoCellAnchor>
  <xdr:twoCellAnchor editAs="oneCell">
    <xdr:from>
      <xdr:col>1</xdr:col>
      <xdr:colOff>1381125</xdr:colOff>
      <xdr:row>3</xdr:row>
      <xdr:rowOff>152400</xdr:rowOff>
    </xdr:from>
    <xdr:to>
      <xdr:col>1</xdr:col>
      <xdr:colOff>2657476</xdr:colOff>
      <xdr:row>9</xdr:row>
      <xdr:rowOff>191220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781050"/>
          <a:ext cx="1276351" cy="1229445"/>
        </a:xfrm>
        <a:prstGeom prst="rect">
          <a:avLst/>
        </a:prstGeom>
      </xdr:spPr>
    </xdr:pic>
    <xdr:clientData/>
  </xdr:twoCellAnchor>
  <xdr:twoCellAnchor>
    <xdr:from>
      <xdr:col>6</xdr:col>
      <xdr:colOff>266700</xdr:colOff>
      <xdr:row>0</xdr:row>
      <xdr:rowOff>0</xdr:rowOff>
    </xdr:from>
    <xdr:to>
      <xdr:col>13</xdr:col>
      <xdr:colOff>476250</xdr:colOff>
      <xdr:row>22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0.14187</cdr:x>
      <cdr:y>0.77826</cdr:y>
    </cdr:from>
    <cdr:to>
      <cdr:x>0.36505</cdr:x>
      <cdr:y>0.82992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81049" y="3443288"/>
          <a:ext cx="1228725" cy="2286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AU" sz="1200" b="1"/>
            <a:t>Corrosion&lt;max</a:t>
          </a:r>
        </a:p>
      </cdr:txBody>
    </cdr:sp>
  </cdr:relSizeAnchor>
  <cdr:relSizeAnchor xmlns:cdr="http://schemas.openxmlformats.org/drawingml/2006/chartDrawing">
    <cdr:from>
      <cdr:x>0.64879</cdr:x>
      <cdr:y>0.22928</cdr:y>
    </cdr:from>
    <cdr:to>
      <cdr:x>0.87197</cdr:x>
      <cdr:y>0.28095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71874" y="1014413"/>
          <a:ext cx="1228725" cy="2286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AU" sz="1200" b="1"/>
            <a:t>Corrosion&gt;max</a:t>
          </a:r>
        </a:p>
      </cdr:txBody>
    </cdr:sp>
  </cdr:relSizeAnchor>
  <cdr:relSizeAnchor xmlns:cdr="http://schemas.openxmlformats.org/drawingml/2006/chartDrawing">
    <cdr:from>
      <cdr:x>0.34429</cdr:x>
      <cdr:y>0.01615</cdr:y>
    </cdr:from>
    <cdr:to>
      <cdr:x>0.6782</cdr:x>
      <cdr:y>0.06997</cdr:y>
    </cdr:to>
    <cdr:sp macro="" textlink="'Low corrosion guide Const  RH'!$B$26">
      <cdr:nvSpPr>
        <cdr:cNvPr id="4" name="TextBox 3"/>
        <cdr:cNvSpPr txBox="1"/>
      </cdr:nvSpPr>
      <cdr:spPr>
        <a:xfrm xmlns:a="http://schemas.openxmlformats.org/drawingml/2006/main">
          <a:off x="1895474" y="71439"/>
          <a:ext cx="183832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C8364CF-652E-49F6-B851-67C51124E1F5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/>
            <a:t>Max Corrosion rate = 1 mm/yr</a:t>
          </a:fld>
          <a:endParaRPr lang="en-AU" sz="12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1571625</xdr:colOff>
      <xdr:row>3</xdr:row>
      <xdr:rowOff>114300</xdr:rowOff>
    </xdr:from>
    <xdr:to>
      <xdr:col>1</xdr:col>
      <xdr:colOff>1571626</xdr:colOff>
      <xdr:row>9</xdr:row>
      <xdr:rowOff>153120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742950"/>
          <a:ext cx="1" cy="122944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3</xdr:row>
      <xdr:rowOff>123825</xdr:rowOff>
    </xdr:from>
    <xdr:to>
      <xdr:col>1</xdr:col>
      <xdr:colOff>1457325</xdr:colOff>
      <xdr:row>9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752475"/>
          <a:ext cx="1447800" cy="1219200"/>
        </a:xfrm>
        <a:prstGeom prst="rect">
          <a:avLst/>
        </a:prstGeom>
      </xdr:spPr>
    </xdr:pic>
    <xdr:clientData/>
  </xdr:twoCellAnchor>
  <xdr:twoCellAnchor editAs="oneCell">
    <xdr:from>
      <xdr:col>1</xdr:col>
      <xdr:colOff>1381125</xdr:colOff>
      <xdr:row>3</xdr:row>
      <xdr:rowOff>152400</xdr:rowOff>
    </xdr:from>
    <xdr:to>
      <xdr:col>1</xdr:col>
      <xdr:colOff>2657476</xdr:colOff>
      <xdr:row>9</xdr:row>
      <xdr:rowOff>191220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781050"/>
          <a:ext cx="1276351" cy="122944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0</xdr:row>
      <xdr:rowOff>52386</xdr:rowOff>
    </xdr:from>
    <xdr:to>
      <xdr:col>14</xdr:col>
      <xdr:colOff>257175</xdr:colOff>
      <xdr:row>22</xdr:row>
      <xdr:rowOff>161924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0.14187</cdr:x>
      <cdr:y>0.77826</cdr:y>
    </cdr:from>
    <cdr:to>
      <cdr:x>0.36505</cdr:x>
      <cdr:y>0.82992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81049" y="3443288"/>
          <a:ext cx="1228725" cy="2286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AU" sz="1200" b="1"/>
            <a:t>Corrosion&lt;max</a:t>
          </a:r>
        </a:p>
      </cdr:txBody>
    </cdr:sp>
  </cdr:relSizeAnchor>
  <cdr:relSizeAnchor xmlns:cdr="http://schemas.openxmlformats.org/drawingml/2006/chartDrawing">
    <cdr:from>
      <cdr:x>0.64879</cdr:x>
      <cdr:y>0.22928</cdr:y>
    </cdr:from>
    <cdr:to>
      <cdr:x>0.87197</cdr:x>
      <cdr:y>0.28095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71874" y="1014413"/>
          <a:ext cx="1228725" cy="2286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AU" sz="1200" b="1"/>
            <a:t>Corrosion&gt;max</a:t>
          </a:r>
        </a:p>
      </cdr:txBody>
    </cdr:sp>
  </cdr:relSizeAnchor>
  <cdr:relSizeAnchor xmlns:cdr="http://schemas.openxmlformats.org/drawingml/2006/chartDrawing">
    <cdr:from>
      <cdr:x>0.34429</cdr:x>
      <cdr:y>0.01615</cdr:y>
    </cdr:from>
    <cdr:to>
      <cdr:x>0.6782</cdr:x>
      <cdr:y>0.06997</cdr:y>
    </cdr:to>
    <cdr:sp macro="" textlink="'Low corrosion guide Const  H2S'!$B$26">
      <cdr:nvSpPr>
        <cdr:cNvPr id="4" name="TextBox 3"/>
        <cdr:cNvSpPr txBox="1"/>
      </cdr:nvSpPr>
      <cdr:spPr>
        <a:xfrm xmlns:a="http://schemas.openxmlformats.org/drawingml/2006/main">
          <a:off x="1895474" y="71439"/>
          <a:ext cx="183832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C8364CF-652E-49F6-B851-67C51124E1F5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/>
            <a:t>Max Corrosion rate = 1 mm/yr</a:t>
          </a:fld>
          <a:endParaRPr lang="en-AU" sz="12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Word_Document2.docx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K1:T36"/>
  <sheetViews>
    <sheetView tabSelected="1" topLeftCell="A59" zoomScale="80" zoomScaleNormal="80" workbookViewId="0">
      <selection activeCell="K64" sqref="K64"/>
    </sheetView>
  </sheetViews>
  <sheetFormatPr defaultRowHeight="15" x14ac:dyDescent="0.25"/>
  <cols>
    <col min="11" max="11" width="19.140625" customWidth="1"/>
    <col min="12" max="12" width="12" bestFit="1" customWidth="1"/>
    <col min="17" max="17" width="16.28515625" customWidth="1"/>
    <col min="18" max="18" width="15.28515625" customWidth="1"/>
    <col min="19" max="19" width="14.5703125" customWidth="1"/>
    <col min="20" max="20" width="19.140625" bestFit="1" customWidth="1"/>
    <col min="21" max="21" width="14.140625" customWidth="1"/>
  </cols>
  <sheetData>
    <row r="1" spans="11:20" ht="18" x14ac:dyDescent="0.35">
      <c r="K1" s="1" t="s">
        <v>58</v>
      </c>
    </row>
    <row r="3" spans="11:20" x14ac:dyDescent="0.25">
      <c r="K3" s="16" t="s">
        <v>51</v>
      </c>
      <c r="L3" s="3">
        <v>1.2358333333333332E-10</v>
      </c>
      <c r="O3" t="s">
        <v>1</v>
      </c>
      <c r="P3" t="s">
        <v>2</v>
      </c>
      <c r="R3" s="2"/>
    </row>
    <row r="4" spans="11:20" x14ac:dyDescent="0.25">
      <c r="K4" s="17" t="s">
        <v>8</v>
      </c>
      <c r="L4">
        <v>0.8</v>
      </c>
      <c r="O4" t="s">
        <v>3</v>
      </c>
      <c r="P4" t="s">
        <v>4</v>
      </c>
      <c r="R4" s="3"/>
    </row>
    <row r="5" spans="11:20" x14ac:dyDescent="0.25">
      <c r="K5" s="17" t="s">
        <v>52</v>
      </c>
      <c r="L5">
        <v>1.2449999999999999E-2</v>
      </c>
      <c r="O5" t="s">
        <v>6</v>
      </c>
      <c r="P5" t="s">
        <v>5</v>
      </c>
    </row>
    <row r="6" spans="11:20" x14ac:dyDescent="0.25">
      <c r="K6" s="17" t="s">
        <v>53</v>
      </c>
      <c r="L6">
        <v>9.5500000000000002E-2</v>
      </c>
      <c r="Q6" s="1"/>
    </row>
    <row r="7" spans="11:20" x14ac:dyDescent="0.25">
      <c r="K7" s="16" t="s">
        <v>31</v>
      </c>
      <c r="L7">
        <v>9.8043999999999993</v>
      </c>
      <c r="Q7" s="1"/>
    </row>
    <row r="8" spans="11:20" x14ac:dyDescent="0.25">
      <c r="K8" s="17" t="s">
        <v>9</v>
      </c>
      <c r="L8">
        <v>56000</v>
      </c>
      <c r="Q8" s="1"/>
      <c r="R8" s="3"/>
    </row>
    <row r="9" spans="11:20" x14ac:dyDescent="0.25">
      <c r="K9" s="17" t="s">
        <v>10</v>
      </c>
      <c r="L9">
        <v>8.3140000000000001</v>
      </c>
      <c r="Q9" s="1"/>
    </row>
    <row r="10" spans="11:20" x14ac:dyDescent="0.25">
      <c r="K10" s="17" t="s">
        <v>0</v>
      </c>
      <c r="L10">
        <v>0.90833333333333333</v>
      </c>
      <c r="Q10" s="1"/>
    </row>
    <row r="13" spans="11:20" x14ac:dyDescent="0.25">
      <c r="T13" s="17"/>
    </row>
    <row r="14" spans="11:20" x14ac:dyDescent="0.25">
      <c r="K14" t="s">
        <v>59</v>
      </c>
    </row>
    <row r="15" spans="11:20" x14ac:dyDescent="0.25">
      <c r="P15" s="1" t="s">
        <v>54</v>
      </c>
    </row>
    <row r="16" spans="11:20" x14ac:dyDescent="0.25">
      <c r="K16" s="1" t="s">
        <v>51</v>
      </c>
      <c r="L16" s="7">
        <v>458000</v>
      </c>
    </row>
    <row r="17" spans="11:18" x14ac:dyDescent="0.25">
      <c r="K17" s="1" t="s">
        <v>8</v>
      </c>
      <c r="L17">
        <v>0.5</v>
      </c>
      <c r="Q17">
        <v>3</v>
      </c>
      <c r="R17" t="s">
        <v>33</v>
      </c>
    </row>
    <row r="18" spans="11:18" x14ac:dyDescent="0.25">
      <c r="K18" s="1" t="s">
        <v>52</v>
      </c>
      <c r="L18">
        <v>1.2449999999999999E-2</v>
      </c>
      <c r="Q18">
        <v>20</v>
      </c>
      <c r="R18" t="s">
        <v>64</v>
      </c>
    </row>
    <row r="19" spans="11:18" x14ac:dyDescent="0.25">
      <c r="K19" s="1" t="s">
        <v>53</v>
      </c>
      <c r="L19">
        <v>9.5500000000000002E-2</v>
      </c>
      <c r="Q19">
        <v>100</v>
      </c>
      <c r="R19" t="s">
        <v>65</v>
      </c>
    </row>
    <row r="20" spans="11:18" x14ac:dyDescent="0.25">
      <c r="K20" s="1" t="s">
        <v>31</v>
      </c>
      <c r="L20">
        <v>9.8043999999999993</v>
      </c>
    </row>
    <row r="21" spans="11:18" x14ac:dyDescent="0.25">
      <c r="K21" s="1" t="s">
        <v>9</v>
      </c>
      <c r="L21" s="3">
        <v>29999.999284744263</v>
      </c>
      <c r="P21" t="s">
        <v>55</v>
      </c>
      <c r="Q21">
        <f>$L$3*Q17^(-1*$L$4)*($L$6*Q19-$L$7)/(1-$L$5*Q19)*EXP($L$8/($L$9*(Q18+273.15)))+$L$10</f>
        <v>1.4156491339308102</v>
      </c>
      <c r="R21" t="s">
        <v>25</v>
      </c>
    </row>
    <row r="22" spans="11:18" x14ac:dyDescent="0.25">
      <c r="K22" s="1" t="s">
        <v>10</v>
      </c>
      <c r="L22">
        <v>8.3140000000000001</v>
      </c>
      <c r="P22" t="s">
        <v>56</v>
      </c>
      <c r="Q22" s="50">
        <f>$L$16*Q17^$L$17*((1-$L$18*Q19)/($L$19*Q19-$L$20))*EXP(-$L$21/$L$22/(Q18+273.15))</f>
        <v>3.4463716089967629</v>
      </c>
      <c r="R22" t="s">
        <v>23</v>
      </c>
    </row>
    <row r="36" spans="12:12" x14ac:dyDescent="0.25">
      <c r="L36" s="7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Word.Document.12" shapeId="1036" r:id="rId4">
          <objectPr defaultSize="0" r:id="rId5">
            <anchor moveWithCells="1">
              <from>
                <xdr:col>0</xdr:col>
                <xdr:colOff>9525</xdr:colOff>
                <xdr:row>0</xdr:row>
                <xdr:rowOff>142875</xdr:rowOff>
              </from>
              <to>
                <xdr:col>9</xdr:col>
                <xdr:colOff>247650</xdr:colOff>
                <xdr:row>35</xdr:row>
                <xdr:rowOff>161925</xdr:rowOff>
              </to>
            </anchor>
          </objectPr>
        </oleObject>
      </mc:Choice>
      <mc:Fallback>
        <oleObject progId="Word.Document.12" shapeId="1036" r:id="rId4"/>
      </mc:Fallback>
    </mc:AlternateContent>
    <mc:AlternateContent xmlns:mc="http://schemas.openxmlformats.org/markup-compatibility/2006">
      <mc:Choice Requires="x14">
        <oleObject progId="Word.Document.12" shapeId="1038" r:id="rId6">
          <objectPr defaultSize="0" r:id="rId7">
            <anchor moveWithCells="1">
              <from>
                <xdr:col>0</xdr:col>
                <xdr:colOff>19050</xdr:colOff>
                <xdr:row>36</xdr:row>
                <xdr:rowOff>28575</xdr:rowOff>
              </from>
              <to>
                <xdr:col>9</xdr:col>
                <xdr:colOff>257175</xdr:colOff>
                <xdr:row>62</xdr:row>
                <xdr:rowOff>9525</xdr:rowOff>
              </to>
            </anchor>
          </objectPr>
        </oleObject>
      </mc:Choice>
      <mc:Fallback>
        <oleObject progId="Word.Document.12" shapeId="1038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457"/>
  <sheetViews>
    <sheetView topLeftCell="A15" zoomScale="90" zoomScaleNormal="90" workbookViewId="0">
      <selection activeCell="C25" sqref="C25"/>
    </sheetView>
  </sheetViews>
  <sheetFormatPr defaultRowHeight="15" x14ac:dyDescent="0.25"/>
  <cols>
    <col min="1" max="1" width="7.5703125" customWidth="1"/>
    <col min="2" max="2" width="43.85546875" customWidth="1"/>
    <col min="3" max="3" width="10.28515625" customWidth="1"/>
    <col min="4" max="4" width="11.7109375" customWidth="1"/>
    <col min="5" max="5" width="16" customWidth="1"/>
    <col min="6" max="6" width="6.140625" customWidth="1"/>
    <col min="7" max="7" width="6.42578125" customWidth="1"/>
    <col min="8" max="8" width="9.85546875" customWidth="1"/>
    <col min="9" max="9" width="8.7109375" customWidth="1"/>
    <col min="10" max="10" width="5.7109375" customWidth="1"/>
    <col min="12" max="12" width="10.7109375" bestFit="1" customWidth="1"/>
    <col min="13" max="13" width="21.140625" customWidth="1"/>
    <col min="15" max="15" width="16.140625" customWidth="1"/>
    <col min="16" max="16" width="17" customWidth="1"/>
    <col min="17" max="17" width="12.42578125" customWidth="1"/>
  </cols>
  <sheetData>
    <row r="1" spans="2:17" ht="15.75" thickBot="1" x14ac:dyDescent="0.3"/>
    <row r="2" spans="2:17" x14ac:dyDescent="0.25">
      <c r="B2" s="43"/>
      <c r="C2" s="44"/>
      <c r="D2" s="44"/>
      <c r="E2" s="44"/>
      <c r="F2" s="44"/>
      <c r="G2" s="44"/>
      <c r="H2" s="44"/>
      <c r="I2" s="44"/>
      <c r="J2" s="44"/>
      <c r="K2" s="45"/>
    </row>
    <row r="3" spans="2:17" ht="18.75" customHeight="1" x14ac:dyDescent="0.4">
      <c r="B3" s="46" t="s">
        <v>12</v>
      </c>
      <c r="C3" s="27"/>
      <c r="D3" s="33"/>
      <c r="E3" s="33"/>
      <c r="F3" s="33"/>
      <c r="G3" s="49"/>
      <c r="H3" s="49"/>
      <c r="I3" s="49"/>
      <c r="J3" s="49"/>
      <c r="K3" s="30"/>
    </row>
    <row r="4" spans="2:17" ht="18.75" customHeight="1" x14ac:dyDescent="0.4">
      <c r="B4" s="46"/>
      <c r="C4" s="27"/>
      <c r="D4" s="49"/>
      <c r="E4" s="49"/>
      <c r="F4" s="49"/>
      <c r="G4" s="49"/>
      <c r="H4" s="49"/>
      <c r="I4" s="49"/>
      <c r="J4" s="49"/>
      <c r="K4" s="30"/>
    </row>
    <row r="5" spans="2:17" ht="15" customHeight="1" x14ac:dyDescent="0.4">
      <c r="B5" s="31"/>
      <c r="C5" s="27"/>
      <c r="D5" s="49"/>
      <c r="E5" s="59" t="s">
        <v>11</v>
      </c>
      <c r="F5" s="59"/>
      <c r="G5" s="59"/>
      <c r="H5" s="59"/>
      <c r="I5" s="59"/>
      <c r="J5" s="59"/>
      <c r="K5" s="30"/>
    </row>
    <row r="6" spans="2:17" ht="19.5" customHeight="1" x14ac:dyDescent="0.35">
      <c r="B6" s="31"/>
      <c r="C6" s="27"/>
      <c r="D6" s="27"/>
      <c r="E6" s="59"/>
      <c r="F6" s="59"/>
      <c r="G6" s="59"/>
      <c r="H6" s="59"/>
      <c r="I6" s="59"/>
      <c r="J6" s="59"/>
      <c r="K6" s="30"/>
      <c r="M6" s="18" t="s">
        <v>60</v>
      </c>
      <c r="P6" t="s">
        <v>61</v>
      </c>
    </row>
    <row r="7" spans="2:17" x14ac:dyDescent="0.25">
      <c r="B7" s="31"/>
      <c r="C7" s="27"/>
      <c r="D7" s="27"/>
      <c r="E7" s="27"/>
      <c r="F7" s="27"/>
      <c r="G7" s="27"/>
      <c r="H7" s="27"/>
      <c r="I7" s="27"/>
      <c r="J7" s="27"/>
      <c r="K7" s="30"/>
    </row>
    <row r="8" spans="2:17" x14ac:dyDescent="0.25">
      <c r="B8" s="31"/>
      <c r="C8" s="27"/>
      <c r="D8" s="27"/>
      <c r="E8" s="27"/>
      <c r="F8" s="27"/>
      <c r="G8" s="27"/>
      <c r="H8" s="27"/>
      <c r="I8" s="27"/>
      <c r="J8" s="27"/>
      <c r="K8" s="30"/>
      <c r="M8" s="19" t="s">
        <v>51</v>
      </c>
      <c r="N8" s="3">
        <v>1.2358333333333332E-10</v>
      </c>
      <c r="P8" s="1" t="s">
        <v>51</v>
      </c>
      <c r="Q8" s="21">
        <v>458000</v>
      </c>
    </row>
    <row r="9" spans="2:17" x14ac:dyDescent="0.25">
      <c r="B9" s="31"/>
      <c r="C9" s="27"/>
      <c r="D9" s="27"/>
      <c r="E9" s="27"/>
      <c r="F9" s="27"/>
      <c r="G9" s="27"/>
      <c r="H9" s="27"/>
      <c r="I9" s="27"/>
      <c r="J9" s="27"/>
      <c r="K9" s="30"/>
      <c r="M9" s="20" t="s">
        <v>8</v>
      </c>
      <c r="N9">
        <v>0.8</v>
      </c>
      <c r="P9" s="1" t="s">
        <v>8</v>
      </c>
      <c r="Q9">
        <v>0.5</v>
      </c>
    </row>
    <row r="10" spans="2:17" ht="15.75" thickBot="1" x14ac:dyDescent="0.3">
      <c r="B10" s="40"/>
      <c r="C10" s="41"/>
      <c r="D10" s="41"/>
      <c r="E10" s="41"/>
      <c r="F10" s="41"/>
      <c r="G10" s="41"/>
      <c r="H10" s="41"/>
      <c r="I10" s="41"/>
      <c r="J10" s="41"/>
      <c r="K10" s="42"/>
      <c r="M10" s="20" t="s">
        <v>52</v>
      </c>
      <c r="N10">
        <v>1.2449999999999999E-2</v>
      </c>
      <c r="P10" s="1" t="s">
        <v>52</v>
      </c>
      <c r="Q10">
        <v>1.2449999999999999E-2</v>
      </c>
    </row>
    <row r="11" spans="2:17" x14ac:dyDescent="0.25">
      <c r="B11" s="43"/>
      <c r="C11" s="44"/>
      <c r="D11" s="44"/>
      <c r="E11" s="44"/>
      <c r="F11" s="44"/>
      <c r="G11" s="44"/>
      <c r="H11" s="44"/>
      <c r="I11" s="44"/>
      <c r="J11" s="44"/>
      <c r="K11" s="45"/>
      <c r="M11" s="20" t="s">
        <v>53</v>
      </c>
      <c r="N11">
        <v>9.5500000000000002E-2</v>
      </c>
      <c r="P11" s="1" t="s">
        <v>53</v>
      </c>
      <c r="Q11">
        <v>9.5500000000000002E-2</v>
      </c>
    </row>
    <row r="12" spans="2:17" x14ac:dyDescent="0.25">
      <c r="B12" s="29" t="s">
        <v>17</v>
      </c>
      <c r="C12" s="27"/>
      <c r="D12" s="27"/>
      <c r="E12" s="27"/>
      <c r="F12" s="27"/>
      <c r="G12" s="27"/>
      <c r="H12" s="27"/>
      <c r="I12" s="27"/>
      <c r="J12" s="27"/>
      <c r="K12" s="30"/>
      <c r="M12" s="19" t="s">
        <v>31</v>
      </c>
      <c r="N12">
        <v>9.8043999999999993</v>
      </c>
      <c r="P12" s="1" t="s">
        <v>31</v>
      </c>
      <c r="Q12">
        <v>9.8043999999999993</v>
      </c>
    </row>
    <row r="13" spans="2:17" ht="18.75" x14ac:dyDescent="0.3">
      <c r="B13" s="29"/>
      <c r="C13" s="27"/>
      <c r="D13" s="27"/>
      <c r="E13" s="55"/>
      <c r="F13" s="56"/>
      <c r="G13" s="57" t="s">
        <v>74</v>
      </c>
      <c r="H13" s="56"/>
      <c r="I13" s="56"/>
      <c r="J13" s="27"/>
      <c r="K13" s="30"/>
      <c r="M13" s="20" t="s">
        <v>9</v>
      </c>
      <c r="N13">
        <v>56000</v>
      </c>
      <c r="P13" s="1" t="s">
        <v>9</v>
      </c>
      <c r="Q13" s="22">
        <v>29999.999284744263</v>
      </c>
    </row>
    <row r="14" spans="2:17" ht="18.75" x14ac:dyDescent="0.3">
      <c r="B14" s="31" t="s">
        <v>13</v>
      </c>
      <c r="C14" s="52">
        <v>2014</v>
      </c>
      <c r="D14" s="27" t="s">
        <v>73</v>
      </c>
      <c r="E14" s="55"/>
      <c r="F14" s="56"/>
      <c r="G14" s="57" t="s">
        <v>75</v>
      </c>
      <c r="H14" s="56"/>
      <c r="I14" s="56"/>
      <c r="J14" s="27"/>
      <c r="K14" s="30"/>
      <c r="M14" s="20" t="s">
        <v>10</v>
      </c>
      <c r="N14">
        <v>8.3140000000000001</v>
      </c>
      <c r="P14" s="1" t="s">
        <v>10</v>
      </c>
      <c r="Q14">
        <v>8.3140000000000001</v>
      </c>
    </row>
    <row r="15" spans="2:17" ht="18.75" x14ac:dyDescent="0.3">
      <c r="B15" s="31"/>
      <c r="C15" s="26"/>
      <c r="D15" s="27"/>
      <c r="E15" s="27"/>
      <c r="F15" s="27"/>
      <c r="G15" s="57" t="s">
        <v>76</v>
      </c>
      <c r="H15" s="27"/>
      <c r="I15" s="27"/>
      <c r="J15" s="27"/>
      <c r="K15" s="30"/>
      <c r="M15" s="20" t="s">
        <v>0</v>
      </c>
      <c r="N15">
        <v>0.90833333333333333</v>
      </c>
    </row>
    <row r="16" spans="2:17" x14ac:dyDescent="0.25">
      <c r="B16" s="31" t="s">
        <v>15</v>
      </c>
      <c r="C16" s="48">
        <v>75</v>
      </c>
      <c r="D16" s="27" t="s">
        <v>14</v>
      </c>
      <c r="E16" s="27"/>
      <c r="F16" s="27"/>
      <c r="G16" s="27"/>
      <c r="H16" s="27"/>
      <c r="I16" s="27"/>
      <c r="J16" s="27"/>
      <c r="K16" s="30"/>
    </row>
    <row r="17" spans="2:15" x14ac:dyDescent="0.25">
      <c r="B17" s="31"/>
      <c r="C17" s="27"/>
      <c r="D17" s="27"/>
      <c r="E17" s="27"/>
      <c r="F17" s="27"/>
      <c r="G17" s="27"/>
      <c r="H17" s="27"/>
      <c r="I17" s="27"/>
      <c r="J17" s="27"/>
      <c r="K17" s="30"/>
    </row>
    <row r="18" spans="2:15" x14ac:dyDescent="0.25">
      <c r="B18" s="29" t="s">
        <v>16</v>
      </c>
      <c r="C18" s="27"/>
      <c r="D18" s="27"/>
      <c r="E18" s="27"/>
      <c r="F18" s="27"/>
      <c r="G18" s="27"/>
      <c r="H18" s="27"/>
      <c r="I18" s="27"/>
      <c r="J18" s="27"/>
      <c r="K18" s="30"/>
      <c r="M18" s="20" t="s">
        <v>62</v>
      </c>
      <c r="N18">
        <f>C20</f>
        <v>3</v>
      </c>
      <c r="O18" t="s">
        <v>63</v>
      </c>
    </row>
    <row r="19" spans="2:15" x14ac:dyDescent="0.25">
      <c r="B19" s="31"/>
      <c r="C19" s="27"/>
      <c r="D19" s="27"/>
      <c r="E19" s="27"/>
      <c r="F19" s="27"/>
      <c r="G19" s="27"/>
      <c r="H19" s="27"/>
      <c r="I19" s="27"/>
      <c r="J19" s="27"/>
      <c r="K19" s="30"/>
      <c r="M19" s="20" t="s">
        <v>3</v>
      </c>
      <c r="N19">
        <f>IF(OR(C22="",C22=0,C22=" "),22,C22)</f>
        <v>20</v>
      </c>
      <c r="O19" t="str">
        <f>IF(OR(C22="",C22=0,C22=" "),"°C (assumed)","°C")</f>
        <v>°C</v>
      </c>
    </row>
    <row r="20" spans="2:15" x14ac:dyDescent="0.25">
      <c r="B20" s="31" t="s">
        <v>18</v>
      </c>
      <c r="C20" s="47">
        <v>3</v>
      </c>
      <c r="D20" s="27" t="s">
        <v>19</v>
      </c>
      <c r="E20" s="27"/>
      <c r="F20" s="27"/>
      <c r="G20" s="27"/>
      <c r="H20" s="27"/>
      <c r="I20" s="27"/>
      <c r="J20" s="27"/>
      <c r="K20" s="30"/>
      <c r="M20" s="20" t="s">
        <v>6</v>
      </c>
      <c r="N20">
        <f>IF(OR(C24="",C24=0,C24=" "),95,C24)</f>
        <v>100</v>
      </c>
      <c r="O20" t="str">
        <f>IF(OR(C24="",C24=0,C24=" "),"% (assumed)","%")</f>
        <v>%</v>
      </c>
    </row>
    <row r="21" spans="2:15" x14ac:dyDescent="0.25">
      <c r="B21" s="31"/>
      <c r="C21" s="26"/>
      <c r="D21" s="27"/>
      <c r="E21" s="27"/>
      <c r="F21" s="27"/>
      <c r="G21" s="27"/>
      <c r="H21" s="27"/>
      <c r="I21" s="27"/>
      <c r="J21" s="27"/>
      <c r="K21" s="30"/>
    </row>
    <row r="22" spans="2:15" x14ac:dyDescent="0.25">
      <c r="B22" s="31" t="s">
        <v>20</v>
      </c>
      <c r="C22" s="47">
        <v>20</v>
      </c>
      <c r="D22" s="27" t="s">
        <v>72</v>
      </c>
      <c r="E22" s="27"/>
      <c r="F22" s="27"/>
      <c r="G22" s="27"/>
      <c r="H22" s="27"/>
      <c r="I22" s="27"/>
      <c r="J22" s="27"/>
      <c r="K22" s="30"/>
      <c r="N22" t="str">
        <f>"H2S = "&amp;N18&amp;" "&amp;O18</f>
        <v>H2S = 3 ppm</v>
      </c>
    </row>
    <row r="23" spans="2:15" x14ac:dyDescent="0.25">
      <c r="B23" s="31"/>
      <c r="C23" s="26"/>
      <c r="D23" s="27"/>
      <c r="E23" s="27"/>
      <c r="F23" s="27"/>
      <c r="G23" s="27"/>
      <c r="H23" s="27"/>
      <c r="I23" s="27"/>
      <c r="J23" s="27"/>
      <c r="K23" s="30"/>
      <c r="N23" t="str">
        <f>"T = "&amp;N19&amp;" "&amp;O19</f>
        <v>T = 20 °C</v>
      </c>
    </row>
    <row r="24" spans="2:15" x14ac:dyDescent="0.25">
      <c r="B24" s="31" t="s">
        <v>21</v>
      </c>
      <c r="C24" s="48">
        <v>100</v>
      </c>
      <c r="D24" s="27" t="s">
        <v>24</v>
      </c>
      <c r="E24" s="27"/>
      <c r="F24" s="27"/>
      <c r="G24" s="27"/>
      <c r="H24" s="27"/>
      <c r="I24" s="27"/>
      <c r="J24" s="27"/>
      <c r="K24" s="30"/>
      <c r="N24" t="str">
        <f>"RH = "&amp;N20&amp;" "&amp;O20</f>
        <v>RH = 100 %</v>
      </c>
    </row>
    <row r="25" spans="2:15" x14ac:dyDescent="0.25">
      <c r="B25" s="31"/>
      <c r="C25" s="27"/>
      <c r="D25" s="27"/>
      <c r="E25" s="27"/>
      <c r="F25" s="27"/>
      <c r="G25" s="27"/>
      <c r="H25" s="27"/>
      <c r="I25" s="27"/>
      <c r="J25" s="27"/>
      <c r="K25" s="30"/>
    </row>
    <row r="26" spans="2:15" x14ac:dyDescent="0.25">
      <c r="B26" s="31"/>
      <c r="C26" s="27"/>
      <c r="D26" s="27"/>
      <c r="E26" s="27"/>
      <c r="F26" s="27"/>
      <c r="G26" s="27"/>
      <c r="H26" s="27"/>
      <c r="I26" s="27"/>
      <c r="J26" s="27"/>
      <c r="K26" s="30"/>
    </row>
    <row r="27" spans="2:15" x14ac:dyDescent="0.25">
      <c r="B27" s="31"/>
      <c r="C27" s="27"/>
      <c r="D27" s="27"/>
      <c r="E27" s="27"/>
      <c r="F27" s="27"/>
      <c r="G27" s="27"/>
      <c r="H27" s="27"/>
      <c r="I27" s="27"/>
      <c r="J27" s="27"/>
      <c r="K27" s="30"/>
    </row>
    <row r="28" spans="2:15" x14ac:dyDescent="0.25">
      <c r="B28" s="31"/>
      <c r="C28" s="27"/>
      <c r="D28" s="27"/>
      <c r="E28" s="27"/>
      <c r="F28" s="27"/>
      <c r="G28" s="27"/>
      <c r="H28" s="27"/>
      <c r="I28" s="27"/>
      <c r="J28" s="27"/>
      <c r="K28" s="30"/>
    </row>
    <row r="29" spans="2:15" x14ac:dyDescent="0.25">
      <c r="B29" s="29" t="s">
        <v>22</v>
      </c>
      <c r="C29" s="27"/>
      <c r="D29" s="27"/>
      <c r="E29" s="27"/>
      <c r="F29" s="27"/>
      <c r="G29" s="27"/>
      <c r="H29" s="27"/>
      <c r="I29" s="27"/>
      <c r="J29" s="27"/>
      <c r="K29" s="30"/>
    </row>
    <row r="30" spans="2:15" x14ac:dyDescent="0.25">
      <c r="B30" s="31"/>
      <c r="C30" s="27"/>
      <c r="D30" s="27"/>
      <c r="E30" s="27"/>
      <c r="F30" s="27"/>
      <c r="G30" s="27"/>
      <c r="H30" s="27"/>
      <c r="I30" s="27"/>
      <c r="J30" s="27"/>
      <c r="K30" s="30"/>
    </row>
    <row r="31" spans="2:15" ht="18" x14ac:dyDescent="0.35">
      <c r="B31" s="31" t="s">
        <v>71</v>
      </c>
      <c r="C31" s="32">
        <f>MIN(2,IF(OR(C22="",C22=0,C22=" ",C24="",C24=0,C24=" "),1.62-0.083*LN(C20),(N8*N18^(-1*N9)*(N11*N20-N12)/(1-N10*N20)*EXP(N13/(N14*(N19+273.15))))+N15))</f>
        <v>1.4156491339308102</v>
      </c>
      <c r="D31" s="33" t="s">
        <v>25</v>
      </c>
      <c r="E31" s="27"/>
      <c r="F31" s="27"/>
      <c r="G31" s="27"/>
      <c r="H31" s="27"/>
      <c r="I31" s="27"/>
      <c r="J31" s="27"/>
      <c r="K31" s="30"/>
    </row>
    <row r="32" spans="2:15" x14ac:dyDescent="0.25">
      <c r="B32" s="31"/>
      <c r="C32" s="34"/>
      <c r="D32" s="27"/>
      <c r="E32" s="27"/>
      <c r="F32" s="27"/>
      <c r="G32" s="27"/>
      <c r="H32" s="27"/>
      <c r="I32" s="27"/>
      <c r="J32" s="27"/>
      <c r="K32" s="30"/>
    </row>
    <row r="33" spans="2:13" x14ac:dyDescent="0.25">
      <c r="B33" s="31" t="str">
        <f>"Rate of corrosion (CR) afer "&amp;ROUND(C31*10,0)/10&amp;" years (mm/yr):"</f>
        <v>Rate of corrosion (CR) afer 1.4 years (mm/yr):</v>
      </c>
      <c r="C33" s="54">
        <f>Q8*N18^Q9*(1-Q10*N20)/(Q11*N20-Q12)*EXP(-1*Q13/(Q14*(N19+273.15)))</f>
        <v>3.4463716089967629</v>
      </c>
      <c r="D33" s="27" t="s">
        <v>23</v>
      </c>
      <c r="E33" s="24" t="s">
        <v>67</v>
      </c>
      <c r="F33" s="25">
        <f>IF((C33-1.5)&lt;0,0.01,(C33-1.5))</f>
        <v>1.9463716089967629</v>
      </c>
      <c r="G33" s="26" t="s">
        <v>66</v>
      </c>
      <c r="H33" s="25">
        <f>C33+1.5</f>
        <v>4.9463716089967633</v>
      </c>
      <c r="I33" s="27" t="s">
        <v>68</v>
      </c>
      <c r="J33" s="27"/>
      <c r="K33" s="30"/>
    </row>
    <row r="34" spans="2:13" x14ac:dyDescent="0.25">
      <c r="B34" s="31"/>
      <c r="C34" s="27"/>
      <c r="D34" s="27"/>
      <c r="E34" s="27"/>
      <c r="F34" s="27"/>
      <c r="G34" s="27"/>
      <c r="H34" s="27"/>
      <c r="I34" s="27"/>
      <c r="J34" s="27"/>
      <c r="K34" s="30"/>
    </row>
    <row r="35" spans="2:13" x14ac:dyDescent="0.25">
      <c r="B35" s="31" t="s">
        <v>26</v>
      </c>
      <c r="C35" s="36">
        <f>IF(C16/C33+C31&gt;100,"&gt;100",MIN(100,C16/C33+C31))</f>
        <v>23.177666846766037</v>
      </c>
      <c r="D35" s="27" t="s">
        <v>25</v>
      </c>
      <c r="E35" s="24" t="s">
        <v>67</v>
      </c>
      <c r="F35" s="25">
        <f>(C31+C16/H33)</f>
        <v>16.578278618457492</v>
      </c>
      <c r="G35" s="26" t="s">
        <v>66</v>
      </c>
      <c r="H35" s="28">
        <f>IF(C31+C16/F33&gt;100,"&gt;100",IF(C16/C33+C31&gt;100,"&gt; 100",C31+C16/F33))</f>
        <v>39.948886904830061</v>
      </c>
      <c r="I35" s="27" t="s">
        <v>69</v>
      </c>
      <c r="J35" s="27"/>
      <c r="K35" s="30"/>
    </row>
    <row r="36" spans="2:13" x14ac:dyDescent="0.25">
      <c r="B36" s="31"/>
      <c r="C36" s="37"/>
      <c r="D36" s="27"/>
      <c r="E36" s="27"/>
      <c r="F36" s="38"/>
      <c r="G36" s="27"/>
      <c r="H36" s="27"/>
      <c r="I36" s="27"/>
      <c r="J36" s="27"/>
      <c r="K36" s="30"/>
    </row>
    <row r="37" spans="2:13" x14ac:dyDescent="0.25">
      <c r="B37" s="31" t="s">
        <v>28</v>
      </c>
      <c r="C37" s="53">
        <f>IF((C16/C33+C31)&gt;100,"&gt; "&amp;TEXT(C14+C31+100,0),C14+C35)</f>
        <v>2037.177666846766</v>
      </c>
      <c r="D37" s="27"/>
      <c r="E37" s="24" t="s">
        <v>67</v>
      </c>
      <c r="F37" s="53">
        <f>C14+F35</f>
        <v>2030.5782786184575</v>
      </c>
      <c r="G37" s="26" t="s">
        <v>66</v>
      </c>
      <c r="H37" s="53">
        <f>IF(H35="&gt;100","&gt; "&amp;TEXT(C14+C31+100,0),C14+H35)</f>
        <v>2053.94888690483</v>
      </c>
      <c r="I37" s="39" t="s">
        <v>70</v>
      </c>
      <c r="K37" s="30"/>
    </row>
    <row r="38" spans="2:13" x14ac:dyDescent="0.25">
      <c r="B38" s="31"/>
      <c r="C38" s="36"/>
      <c r="D38" s="27"/>
      <c r="E38" s="27"/>
      <c r="F38" s="38"/>
      <c r="G38" s="27"/>
      <c r="H38" s="27"/>
      <c r="I38" s="27"/>
      <c r="J38" s="27"/>
      <c r="K38" s="30"/>
    </row>
    <row r="39" spans="2:13" x14ac:dyDescent="0.25">
      <c r="B39" s="31"/>
      <c r="C39" s="35"/>
      <c r="D39" s="26"/>
      <c r="E39" s="35"/>
      <c r="F39" s="27"/>
      <c r="G39" s="27"/>
      <c r="H39" s="27"/>
      <c r="I39" s="27"/>
      <c r="J39" s="27"/>
      <c r="K39" s="30"/>
    </row>
    <row r="40" spans="2:13" ht="15.75" thickBot="1" x14ac:dyDescent="0.3">
      <c r="B40" s="40"/>
      <c r="C40" s="41"/>
      <c r="D40" s="41"/>
      <c r="E40" s="41"/>
      <c r="F40" s="41"/>
      <c r="G40" s="41"/>
      <c r="H40" s="41"/>
      <c r="I40" s="41"/>
      <c r="J40" s="41"/>
      <c r="K40" s="42"/>
      <c r="M40" s="6"/>
    </row>
    <row r="46" spans="2:13" x14ac:dyDescent="0.25">
      <c r="B46" s="60" t="s">
        <v>32</v>
      </c>
      <c r="C46" s="60"/>
      <c r="D46" s="60"/>
      <c r="E46" s="60"/>
      <c r="F46" s="60"/>
      <c r="G46" s="60"/>
      <c r="H46" s="60"/>
      <c r="I46" s="60"/>
      <c r="J46" s="60"/>
    </row>
    <row r="48" spans="2:13" x14ac:dyDescent="0.25">
      <c r="C48" s="61" t="s">
        <v>29</v>
      </c>
      <c r="D48" s="61"/>
      <c r="E48" s="61"/>
      <c r="F48" s="61"/>
      <c r="G48" s="62" t="s">
        <v>30</v>
      </c>
      <c r="H48" s="62"/>
      <c r="I48" s="62"/>
      <c r="J48" s="62"/>
    </row>
    <row r="49" spans="2:12" x14ac:dyDescent="0.25">
      <c r="C49" s="11" t="s">
        <v>34</v>
      </c>
      <c r="D49" s="11" t="s">
        <v>35</v>
      </c>
      <c r="E49" s="11" t="s">
        <v>36</v>
      </c>
      <c r="F49" s="11" t="s">
        <v>37</v>
      </c>
      <c r="G49" s="12" t="s">
        <v>34</v>
      </c>
      <c r="H49" s="12" t="s">
        <v>35</v>
      </c>
      <c r="I49" s="12" t="s">
        <v>36</v>
      </c>
      <c r="J49" s="12" t="s">
        <v>37</v>
      </c>
    </row>
    <row r="50" spans="2:12" x14ac:dyDescent="0.25">
      <c r="B50" s="8" t="s">
        <v>27</v>
      </c>
      <c r="C50" s="11" t="s">
        <v>14</v>
      </c>
      <c r="D50" s="11" t="s">
        <v>14</v>
      </c>
      <c r="E50" s="11" t="s">
        <v>14</v>
      </c>
      <c r="F50" s="11" t="s">
        <v>14</v>
      </c>
      <c r="G50" s="12" t="s">
        <v>14</v>
      </c>
      <c r="H50" s="12" t="s">
        <v>14</v>
      </c>
      <c r="I50" s="12" t="s">
        <v>14</v>
      </c>
      <c r="J50" s="12" t="s">
        <v>14</v>
      </c>
    </row>
    <row r="51" spans="2:12" x14ac:dyDescent="0.25">
      <c r="B51" s="50"/>
      <c r="C51" s="9"/>
      <c r="D51" s="9"/>
      <c r="E51" s="9"/>
      <c r="F51" s="9"/>
      <c r="G51" s="10"/>
      <c r="H51" s="10"/>
      <c r="I51" s="10"/>
      <c r="J51" s="10"/>
      <c r="K51" s="23"/>
    </row>
    <row r="52" spans="2:12" x14ac:dyDescent="0.25">
      <c r="B52" s="50"/>
      <c r="C52" s="9"/>
      <c r="D52" s="9"/>
      <c r="E52" s="9"/>
      <c r="F52" s="9"/>
      <c r="G52" s="10"/>
      <c r="H52" s="10"/>
      <c r="I52" s="10"/>
      <c r="J52" s="10"/>
      <c r="K52" s="23"/>
    </row>
    <row r="53" spans="2:12" x14ac:dyDescent="0.25">
      <c r="B53" s="50"/>
      <c r="C53" s="9"/>
      <c r="D53" s="9"/>
      <c r="E53" s="9"/>
      <c r="F53" s="9"/>
      <c r="G53" s="10"/>
      <c r="H53" s="10"/>
      <c r="I53" s="10"/>
      <c r="J53" s="10"/>
      <c r="K53" s="23"/>
    </row>
    <row r="54" spans="2:12" x14ac:dyDescent="0.25">
      <c r="B54" s="50"/>
      <c r="C54" s="9"/>
      <c r="D54" s="9"/>
      <c r="E54" s="9"/>
      <c r="F54" s="9"/>
      <c r="G54" s="10"/>
      <c r="H54" s="10"/>
      <c r="I54" s="10"/>
      <c r="J54" s="10"/>
      <c r="K54" s="23"/>
    </row>
    <row r="55" spans="2:12" x14ac:dyDescent="0.25">
      <c r="B55" s="50"/>
      <c r="C55" s="9"/>
      <c r="D55" s="9"/>
      <c r="E55" s="9"/>
      <c r="F55" s="9"/>
      <c r="G55" s="10"/>
      <c r="H55" s="10"/>
      <c r="I55" s="10"/>
      <c r="J55" s="10"/>
      <c r="K55" s="23"/>
    </row>
    <row r="56" spans="2:12" x14ac:dyDescent="0.25">
      <c r="B56" s="50"/>
      <c r="C56" s="9"/>
      <c r="D56" s="9"/>
      <c r="E56" s="9"/>
      <c r="F56" s="9"/>
      <c r="G56" s="10"/>
      <c r="H56" s="10"/>
      <c r="I56" s="10"/>
      <c r="J56" s="10"/>
      <c r="K56" s="23"/>
    </row>
    <row r="57" spans="2:12" x14ac:dyDescent="0.25">
      <c r="B57" s="50"/>
      <c r="C57" s="9"/>
      <c r="D57" s="9"/>
      <c r="E57" s="9"/>
      <c r="F57" s="9"/>
      <c r="G57" s="10"/>
      <c r="H57" s="10"/>
      <c r="I57" s="10"/>
      <c r="J57" s="10"/>
      <c r="K57" s="23"/>
    </row>
    <row r="58" spans="2:12" x14ac:dyDescent="0.25">
      <c r="B58" s="50"/>
      <c r="C58" s="9"/>
      <c r="D58" s="9"/>
      <c r="E58" s="9"/>
      <c r="F58" s="9"/>
      <c r="G58" s="10"/>
      <c r="H58" s="10"/>
      <c r="I58" s="10"/>
      <c r="J58" s="10"/>
      <c r="K58" s="23"/>
    </row>
    <row r="59" spans="2:12" x14ac:dyDescent="0.25">
      <c r="B59" s="50"/>
      <c r="C59" s="9"/>
      <c r="D59" s="9"/>
      <c r="E59" s="9"/>
      <c r="F59" s="9"/>
      <c r="G59" s="10"/>
      <c r="H59" s="10"/>
      <c r="I59" s="10"/>
      <c r="J59" s="10"/>
      <c r="K59" s="23"/>
    </row>
    <row r="60" spans="2:12" x14ac:dyDescent="0.25">
      <c r="B60" s="50"/>
      <c r="C60" s="9"/>
      <c r="D60" s="9"/>
      <c r="E60" s="9"/>
      <c r="F60" s="9"/>
      <c r="G60" s="10"/>
      <c r="H60" s="10"/>
      <c r="I60" s="10"/>
      <c r="J60" s="10"/>
      <c r="K60" s="23"/>
      <c r="L60" s="51"/>
    </row>
    <row r="61" spans="2:12" x14ac:dyDescent="0.25">
      <c r="B61" s="50"/>
      <c r="C61" s="9"/>
      <c r="D61" s="9"/>
      <c r="E61" s="9"/>
      <c r="F61" s="9"/>
      <c r="G61" s="10"/>
      <c r="H61" s="10"/>
      <c r="I61" s="10"/>
      <c r="J61" s="10"/>
      <c r="K61" s="23"/>
      <c r="L61" s="51"/>
    </row>
    <row r="62" spans="2:12" x14ac:dyDescent="0.25">
      <c r="B62" s="50"/>
      <c r="C62" s="9"/>
      <c r="D62" s="9"/>
      <c r="E62" s="9"/>
      <c r="F62" s="9"/>
      <c r="G62" s="10"/>
      <c r="H62" s="10"/>
      <c r="I62" s="10"/>
      <c r="J62" s="10"/>
      <c r="K62" s="23"/>
      <c r="L62" s="51"/>
    </row>
    <row r="63" spans="2:12" x14ac:dyDescent="0.25">
      <c r="B63" s="50"/>
      <c r="C63" s="9"/>
      <c r="D63" s="9"/>
      <c r="E63" s="9"/>
      <c r="F63" s="9"/>
      <c r="G63" s="10"/>
      <c r="H63" s="10"/>
      <c r="I63" s="10"/>
      <c r="J63" s="10"/>
      <c r="K63" s="23"/>
      <c r="L63" s="51"/>
    </row>
    <row r="64" spans="2:12" x14ac:dyDescent="0.25">
      <c r="B64" s="50"/>
      <c r="C64" s="9"/>
      <c r="D64" s="9"/>
      <c r="E64" s="9"/>
      <c r="F64" s="9"/>
      <c r="G64" s="10"/>
      <c r="H64" s="10"/>
      <c r="I64" s="10"/>
      <c r="J64" s="10"/>
      <c r="K64" s="23"/>
      <c r="L64" s="51"/>
    </row>
    <row r="65" spans="2:12" x14ac:dyDescent="0.25">
      <c r="B65" s="50"/>
      <c r="C65" s="9"/>
      <c r="D65" s="9"/>
      <c r="E65" s="9"/>
      <c r="F65" s="9"/>
      <c r="G65" s="10"/>
      <c r="H65" s="10"/>
      <c r="I65" s="10"/>
      <c r="J65" s="10"/>
      <c r="K65" s="23"/>
      <c r="L65" s="51"/>
    </row>
    <row r="66" spans="2:12" x14ac:dyDescent="0.25">
      <c r="B66" s="50"/>
      <c r="C66" s="9"/>
      <c r="D66" s="9"/>
      <c r="E66" s="9"/>
      <c r="F66" s="9"/>
      <c r="G66" s="10"/>
      <c r="H66" s="10"/>
      <c r="I66" s="10"/>
      <c r="J66" s="10"/>
      <c r="K66" s="23"/>
      <c r="L66" s="51"/>
    </row>
    <row r="67" spans="2:12" x14ac:dyDescent="0.25">
      <c r="B67" s="50"/>
      <c r="C67" s="9"/>
      <c r="D67" s="9"/>
      <c r="E67" s="9"/>
      <c r="F67" s="9"/>
      <c r="G67" s="10"/>
      <c r="H67" s="10"/>
      <c r="I67" s="10"/>
      <c r="J67" s="10"/>
      <c r="K67" s="23"/>
    </row>
    <row r="68" spans="2:12" x14ac:dyDescent="0.25">
      <c r="B68" s="50"/>
      <c r="C68" s="9"/>
      <c r="D68" s="9"/>
      <c r="E68" s="9"/>
      <c r="F68" s="9"/>
      <c r="G68" s="10"/>
      <c r="H68" s="10"/>
      <c r="I68" s="10"/>
      <c r="J68" s="10"/>
      <c r="K68" s="23"/>
    </row>
    <row r="69" spans="2:12" x14ac:dyDescent="0.25">
      <c r="B69" s="50"/>
      <c r="C69" s="9"/>
      <c r="D69" s="9"/>
      <c r="E69" s="9"/>
      <c r="F69" s="9"/>
      <c r="G69" s="10"/>
      <c r="H69" s="10"/>
      <c r="I69" s="10"/>
      <c r="J69" s="10"/>
      <c r="K69" s="23"/>
    </row>
    <row r="70" spans="2:12" x14ac:dyDescent="0.25">
      <c r="B70" s="50"/>
      <c r="C70" s="9"/>
      <c r="D70" s="9"/>
      <c r="E70" s="9"/>
      <c r="F70" s="9"/>
      <c r="G70" s="10"/>
      <c r="H70" s="10"/>
      <c r="I70" s="10"/>
      <c r="J70" s="10"/>
      <c r="K70" s="23"/>
    </row>
    <row r="71" spans="2:12" x14ac:dyDescent="0.25">
      <c r="B71" s="50"/>
      <c r="C71" s="9"/>
      <c r="D71" s="9"/>
      <c r="E71" s="9"/>
      <c r="F71" s="9"/>
      <c r="G71" s="10"/>
      <c r="H71" s="10"/>
      <c r="I71" s="10"/>
      <c r="J71" s="10"/>
      <c r="K71" s="23"/>
    </row>
    <row r="72" spans="2:12" x14ac:dyDescent="0.25">
      <c r="B72" s="50"/>
      <c r="C72" s="9"/>
      <c r="D72" s="9"/>
      <c r="E72" s="9"/>
      <c r="F72" s="9"/>
      <c r="G72" s="10"/>
      <c r="H72" s="10"/>
      <c r="I72" s="10"/>
      <c r="J72" s="10"/>
    </row>
    <row r="73" spans="2:12" x14ac:dyDescent="0.25">
      <c r="B73" s="50"/>
      <c r="C73" s="9"/>
      <c r="D73" s="9"/>
      <c r="E73" s="9"/>
      <c r="F73" s="9"/>
      <c r="G73" s="10"/>
      <c r="H73" s="10"/>
      <c r="I73" s="10"/>
      <c r="J73" s="10"/>
    </row>
    <row r="74" spans="2:12" x14ac:dyDescent="0.25">
      <c r="B74" s="50"/>
      <c r="C74" s="9"/>
      <c r="D74" s="9"/>
      <c r="E74" s="9"/>
      <c r="F74" s="9"/>
      <c r="G74" s="10"/>
      <c r="H74" s="10"/>
      <c r="I74" s="10"/>
      <c r="J74" s="10"/>
    </row>
    <row r="75" spans="2:12" x14ac:dyDescent="0.25">
      <c r="B75" s="50"/>
      <c r="C75" s="9"/>
      <c r="D75" s="9"/>
      <c r="E75" s="9"/>
      <c r="F75" s="9"/>
      <c r="G75" s="10"/>
      <c r="H75" s="10"/>
      <c r="I75" s="10"/>
      <c r="J75" s="10"/>
    </row>
    <row r="76" spans="2:12" x14ac:dyDescent="0.25">
      <c r="B76" s="50"/>
      <c r="C76" s="9"/>
      <c r="D76" s="9"/>
      <c r="E76" s="9"/>
      <c r="F76" s="9"/>
      <c r="G76" s="10"/>
      <c r="H76" s="10"/>
      <c r="I76" s="10"/>
      <c r="J76" s="10"/>
    </row>
    <row r="77" spans="2:12" x14ac:dyDescent="0.25">
      <c r="B77" s="50"/>
      <c r="C77" s="9"/>
      <c r="D77" s="9"/>
      <c r="E77" s="9"/>
      <c r="F77" s="9"/>
      <c r="G77" s="10"/>
      <c r="H77" s="10"/>
      <c r="I77" s="10"/>
      <c r="J77" s="10"/>
    </row>
    <row r="78" spans="2:12" x14ac:dyDescent="0.25">
      <c r="B78" s="50"/>
      <c r="C78" s="9"/>
      <c r="D78" s="9"/>
      <c r="E78" s="9"/>
      <c r="F78" s="9"/>
      <c r="G78" s="10"/>
      <c r="H78" s="10"/>
      <c r="I78" s="10"/>
      <c r="J78" s="10"/>
    </row>
    <row r="79" spans="2:12" x14ac:dyDescent="0.25">
      <c r="B79" s="50"/>
      <c r="C79" s="9"/>
      <c r="D79" s="9"/>
      <c r="E79" s="9"/>
      <c r="F79" s="9"/>
      <c r="G79" s="10"/>
      <c r="H79" s="10"/>
      <c r="I79" s="10"/>
      <c r="J79" s="10"/>
    </row>
    <row r="80" spans="2:12" x14ac:dyDescent="0.25">
      <c r="B80" s="50"/>
      <c r="C80" s="9"/>
      <c r="D80" s="9"/>
      <c r="E80" s="9"/>
      <c r="F80" s="9"/>
      <c r="G80" s="10"/>
      <c r="H80" s="10"/>
      <c r="I80" s="10"/>
      <c r="J80" s="10"/>
    </row>
    <row r="81" spans="2:10" x14ac:dyDescent="0.25">
      <c r="B81" s="50"/>
      <c r="C81" s="9"/>
      <c r="D81" s="9"/>
      <c r="E81" s="9"/>
      <c r="F81" s="9"/>
      <c r="G81" s="10"/>
      <c r="H81" s="10"/>
      <c r="I81" s="10"/>
      <c r="J81" s="10"/>
    </row>
    <row r="82" spans="2:10" x14ac:dyDescent="0.25">
      <c r="B82" s="50"/>
      <c r="C82" s="9"/>
      <c r="D82" s="9"/>
      <c r="E82" s="9"/>
      <c r="F82" s="9"/>
      <c r="G82" s="10"/>
      <c r="H82" s="10"/>
      <c r="I82" s="10"/>
      <c r="J82" s="10"/>
    </row>
    <row r="83" spans="2:10" x14ac:dyDescent="0.25">
      <c r="B83" s="50"/>
      <c r="C83" s="9"/>
      <c r="D83" s="9"/>
      <c r="E83" s="9"/>
      <c r="F83" s="9"/>
      <c r="G83" s="10"/>
      <c r="H83" s="10"/>
      <c r="I83" s="10"/>
      <c r="J83" s="10"/>
    </row>
    <row r="84" spans="2:10" x14ac:dyDescent="0.25">
      <c r="B84" s="50"/>
      <c r="C84" s="9"/>
      <c r="D84" s="9"/>
      <c r="E84" s="9"/>
      <c r="F84" s="9"/>
      <c r="G84" s="10"/>
      <c r="H84" s="10"/>
      <c r="I84" s="10"/>
      <c r="J84" s="10"/>
    </row>
    <row r="85" spans="2:10" x14ac:dyDescent="0.25">
      <c r="B85" s="50"/>
      <c r="C85" s="9"/>
      <c r="D85" s="9"/>
      <c r="E85" s="9"/>
      <c r="F85" s="9"/>
      <c r="G85" s="10"/>
      <c r="H85" s="10"/>
      <c r="I85" s="10"/>
      <c r="J85" s="10"/>
    </row>
    <row r="86" spans="2:10" x14ac:dyDescent="0.25">
      <c r="B86" s="50"/>
      <c r="C86" s="9"/>
      <c r="D86" s="9"/>
      <c r="E86" s="9"/>
      <c r="F86" s="9"/>
      <c r="G86" s="10"/>
      <c r="H86" s="10"/>
      <c r="I86" s="10"/>
      <c r="J86" s="10"/>
    </row>
    <row r="87" spans="2:10" x14ac:dyDescent="0.25">
      <c r="B87" s="50"/>
      <c r="C87" s="9"/>
      <c r="D87" s="9"/>
      <c r="E87" s="9"/>
      <c r="F87" s="9"/>
      <c r="G87" s="10"/>
      <c r="H87" s="10"/>
      <c r="I87" s="10"/>
      <c r="J87" s="10"/>
    </row>
    <row r="88" spans="2:10" x14ac:dyDescent="0.25">
      <c r="B88" s="50"/>
      <c r="C88" s="9"/>
      <c r="D88" s="9"/>
      <c r="E88" s="9"/>
      <c r="F88" s="9"/>
      <c r="G88" s="10"/>
      <c r="H88" s="10"/>
      <c r="I88" s="10"/>
      <c r="J88" s="10"/>
    </row>
    <row r="89" spans="2:10" x14ac:dyDescent="0.25">
      <c r="B89" s="50"/>
      <c r="C89" s="9"/>
      <c r="D89" s="9"/>
      <c r="E89" s="9"/>
      <c r="F89" s="9"/>
      <c r="G89" s="10"/>
      <c r="H89" s="10"/>
      <c r="I89" s="10"/>
      <c r="J89" s="10"/>
    </row>
    <row r="90" spans="2:10" x14ac:dyDescent="0.25">
      <c r="B90" s="50"/>
      <c r="C90" s="9"/>
      <c r="D90" s="9"/>
      <c r="E90" s="9"/>
      <c r="F90" s="9"/>
      <c r="G90" s="10"/>
      <c r="H90" s="10"/>
      <c r="I90" s="10"/>
      <c r="J90" s="10"/>
    </row>
    <row r="91" spans="2:10" x14ac:dyDescent="0.25">
      <c r="B91" s="50"/>
      <c r="C91" s="9"/>
      <c r="D91" s="9"/>
      <c r="E91" s="9"/>
      <c r="F91" s="9"/>
      <c r="G91" s="10"/>
      <c r="H91" s="10"/>
      <c r="I91" s="10"/>
      <c r="J91" s="10"/>
    </row>
    <row r="92" spans="2:10" x14ac:dyDescent="0.25">
      <c r="B92" s="50"/>
      <c r="C92" s="9"/>
      <c r="D92" s="9"/>
      <c r="E92" s="9"/>
      <c r="F92" s="9"/>
      <c r="G92" s="10"/>
      <c r="H92" s="10"/>
      <c r="I92" s="10"/>
      <c r="J92" s="10"/>
    </row>
    <row r="93" spans="2:10" x14ac:dyDescent="0.25">
      <c r="B93" s="50"/>
      <c r="C93" s="9"/>
      <c r="D93" s="9"/>
      <c r="E93" s="9"/>
      <c r="F93" s="9"/>
      <c r="G93" s="10"/>
      <c r="H93" s="10"/>
      <c r="I93" s="10"/>
      <c r="J93" s="10"/>
    </row>
    <row r="94" spans="2:10" x14ac:dyDescent="0.25">
      <c r="B94" s="50"/>
      <c r="C94" s="9"/>
      <c r="D94" s="9"/>
      <c r="E94" s="9"/>
      <c r="F94" s="9"/>
      <c r="G94" s="10"/>
      <c r="H94" s="10"/>
      <c r="I94" s="10"/>
      <c r="J94" s="10"/>
    </row>
    <row r="95" spans="2:10" x14ac:dyDescent="0.25">
      <c r="B95" s="50"/>
      <c r="C95" s="9"/>
      <c r="D95" s="9"/>
      <c r="E95" s="9"/>
      <c r="F95" s="9"/>
      <c r="G95" s="10"/>
      <c r="H95" s="10"/>
      <c r="I95" s="10"/>
      <c r="J95" s="10"/>
    </row>
    <row r="96" spans="2:10" x14ac:dyDescent="0.25">
      <c r="B96" s="50"/>
      <c r="C96" s="9"/>
      <c r="D96" s="9"/>
      <c r="E96" s="9"/>
      <c r="F96" s="9"/>
      <c r="G96" s="10"/>
      <c r="H96" s="10"/>
      <c r="I96" s="10"/>
      <c r="J96" s="10"/>
    </row>
    <row r="97" spans="2:10" x14ac:dyDescent="0.25">
      <c r="B97" s="50"/>
      <c r="C97" s="9"/>
      <c r="D97" s="9"/>
      <c r="E97" s="9"/>
      <c r="F97" s="9"/>
      <c r="G97" s="10"/>
      <c r="H97" s="10"/>
      <c r="I97" s="10"/>
      <c r="J97" s="10"/>
    </row>
    <row r="98" spans="2:10" x14ac:dyDescent="0.25">
      <c r="B98" s="50"/>
      <c r="C98" s="9"/>
      <c r="D98" s="9"/>
      <c r="E98" s="9"/>
      <c r="F98" s="9"/>
      <c r="G98" s="10"/>
      <c r="H98" s="10"/>
      <c r="I98" s="10"/>
      <c r="J98" s="10"/>
    </row>
    <row r="99" spans="2:10" x14ac:dyDescent="0.25">
      <c r="B99" s="50"/>
      <c r="C99" s="9"/>
      <c r="D99" s="9"/>
      <c r="E99" s="9"/>
      <c r="F99" s="9"/>
      <c r="G99" s="10"/>
      <c r="H99" s="10"/>
      <c r="I99" s="10"/>
      <c r="J99" s="10"/>
    </row>
    <row r="100" spans="2:10" x14ac:dyDescent="0.25">
      <c r="B100" s="50"/>
      <c r="C100" s="9"/>
      <c r="D100" s="9"/>
      <c r="E100" s="9"/>
      <c r="F100" s="9"/>
      <c r="G100" s="10"/>
      <c r="H100" s="10"/>
      <c r="I100" s="10"/>
      <c r="J100" s="10"/>
    </row>
    <row r="101" spans="2:10" x14ac:dyDescent="0.25">
      <c r="B101" s="50"/>
      <c r="C101" s="9"/>
      <c r="D101" s="9"/>
      <c r="E101" s="9"/>
      <c r="F101" s="9"/>
      <c r="G101" s="10"/>
      <c r="H101" s="10"/>
      <c r="I101" s="10"/>
      <c r="J101" s="10"/>
    </row>
    <row r="102" spans="2:10" x14ac:dyDescent="0.25">
      <c r="B102" s="50"/>
      <c r="C102" s="9"/>
      <c r="D102" s="9"/>
      <c r="E102" s="9"/>
      <c r="F102" s="9"/>
      <c r="G102" s="10"/>
      <c r="H102" s="10"/>
      <c r="I102" s="10"/>
      <c r="J102" s="10"/>
    </row>
    <row r="103" spans="2:10" x14ac:dyDescent="0.25">
      <c r="B103" s="50"/>
      <c r="C103" s="9"/>
      <c r="D103" s="9"/>
      <c r="E103" s="9"/>
      <c r="F103" s="9"/>
      <c r="G103" s="10"/>
      <c r="H103" s="10"/>
      <c r="I103" s="10"/>
      <c r="J103" s="10"/>
    </row>
    <row r="104" spans="2:10" x14ac:dyDescent="0.25">
      <c r="B104" s="50"/>
      <c r="C104" s="9"/>
      <c r="D104" s="9"/>
      <c r="E104" s="9"/>
      <c r="F104" s="9"/>
      <c r="G104" s="10"/>
      <c r="H104" s="10"/>
      <c r="I104" s="10"/>
      <c r="J104" s="10"/>
    </row>
    <row r="105" spans="2:10" x14ac:dyDescent="0.25">
      <c r="B105" s="50"/>
      <c r="C105" s="9"/>
      <c r="D105" s="9"/>
      <c r="E105" s="9"/>
      <c r="F105" s="9"/>
      <c r="G105" s="10"/>
      <c r="H105" s="10"/>
      <c r="I105" s="10"/>
      <c r="J105" s="10"/>
    </row>
    <row r="106" spans="2:10" x14ac:dyDescent="0.25">
      <c r="B106" s="50"/>
      <c r="C106" s="9"/>
      <c r="D106" s="9"/>
      <c r="E106" s="9"/>
      <c r="F106" s="9"/>
      <c r="G106" s="10"/>
      <c r="H106" s="10"/>
      <c r="I106" s="10"/>
      <c r="J106" s="10"/>
    </row>
    <row r="107" spans="2:10" x14ac:dyDescent="0.25">
      <c r="B107" s="50"/>
      <c r="C107" s="9"/>
      <c r="D107" s="9"/>
      <c r="E107" s="9"/>
      <c r="F107" s="9"/>
      <c r="G107" s="10"/>
      <c r="H107" s="10"/>
      <c r="I107" s="10"/>
      <c r="J107" s="10"/>
    </row>
    <row r="108" spans="2:10" x14ac:dyDescent="0.25">
      <c r="B108" s="50"/>
      <c r="C108" s="9"/>
      <c r="D108" s="9"/>
      <c r="E108" s="9"/>
      <c r="F108" s="9"/>
      <c r="G108" s="10"/>
      <c r="H108" s="10"/>
      <c r="I108" s="10"/>
      <c r="J108" s="10"/>
    </row>
    <row r="109" spans="2:10" x14ac:dyDescent="0.25">
      <c r="B109" s="50"/>
      <c r="C109" s="9"/>
      <c r="D109" s="9"/>
      <c r="E109" s="9"/>
      <c r="F109" s="9"/>
      <c r="G109" s="10"/>
      <c r="H109" s="10"/>
      <c r="I109" s="10"/>
      <c r="J109" s="10"/>
    </row>
    <row r="110" spans="2:10" x14ac:dyDescent="0.25">
      <c r="B110" s="50"/>
      <c r="C110" s="9"/>
      <c r="D110" s="9"/>
      <c r="E110" s="9"/>
      <c r="F110" s="9"/>
      <c r="G110" s="10"/>
      <c r="H110" s="10"/>
      <c r="I110" s="10"/>
      <c r="J110" s="10"/>
    </row>
    <row r="111" spans="2:10" x14ac:dyDescent="0.25">
      <c r="B111" s="50"/>
      <c r="C111" s="9"/>
      <c r="D111" s="9"/>
      <c r="E111" s="9"/>
      <c r="F111" s="9"/>
      <c r="G111" s="10"/>
      <c r="H111" s="10"/>
      <c r="I111" s="10"/>
      <c r="J111" s="10"/>
    </row>
    <row r="112" spans="2:10" x14ac:dyDescent="0.25">
      <c r="B112" s="50"/>
      <c r="C112" s="9"/>
      <c r="D112" s="9"/>
      <c r="E112" s="9"/>
      <c r="F112" s="9"/>
      <c r="G112" s="10"/>
      <c r="H112" s="10"/>
      <c r="I112" s="10"/>
      <c r="J112" s="10"/>
    </row>
    <row r="113" spans="2:10" x14ac:dyDescent="0.25">
      <c r="B113" s="50"/>
      <c r="C113" s="9"/>
      <c r="D113" s="9"/>
      <c r="E113" s="9"/>
      <c r="F113" s="9"/>
      <c r="G113" s="10"/>
      <c r="H113" s="10"/>
      <c r="I113" s="10"/>
      <c r="J113" s="10"/>
    </row>
    <row r="114" spans="2:10" x14ac:dyDescent="0.25">
      <c r="B114" s="50"/>
      <c r="C114" s="9"/>
      <c r="D114" s="9"/>
      <c r="E114" s="9"/>
      <c r="F114" s="9"/>
      <c r="G114" s="10"/>
      <c r="H114" s="10"/>
      <c r="I114" s="10"/>
      <c r="J114" s="10"/>
    </row>
    <row r="115" spans="2:10" x14ac:dyDescent="0.25">
      <c r="B115" s="50"/>
      <c r="C115" s="9"/>
      <c r="D115" s="9"/>
      <c r="E115" s="9"/>
      <c r="F115" s="9"/>
      <c r="G115" s="10"/>
      <c r="H115" s="10"/>
      <c r="I115" s="10"/>
      <c r="J115" s="10"/>
    </row>
    <row r="116" spans="2:10" x14ac:dyDescent="0.25">
      <c r="B116" s="50"/>
      <c r="C116" s="9"/>
      <c r="D116" s="9"/>
      <c r="E116" s="9"/>
      <c r="F116" s="9"/>
      <c r="G116" s="10"/>
      <c r="H116" s="10"/>
      <c r="I116" s="10"/>
      <c r="J116" s="10"/>
    </row>
    <row r="117" spans="2:10" x14ac:dyDescent="0.25">
      <c r="B117" s="50"/>
      <c r="C117" s="9"/>
      <c r="D117" s="9"/>
      <c r="E117" s="9"/>
      <c r="F117" s="9"/>
      <c r="G117" s="10"/>
      <c r="H117" s="10"/>
      <c r="I117" s="10"/>
      <c r="J117" s="10"/>
    </row>
    <row r="118" spans="2:10" x14ac:dyDescent="0.25">
      <c r="B118" s="50"/>
      <c r="C118" s="9"/>
      <c r="D118" s="9"/>
      <c r="E118" s="9"/>
      <c r="F118" s="9"/>
      <c r="G118" s="10"/>
      <c r="H118" s="10"/>
      <c r="I118" s="10"/>
      <c r="J118" s="10"/>
    </row>
    <row r="119" spans="2:10" x14ac:dyDescent="0.25">
      <c r="B119" s="50"/>
      <c r="C119" s="9"/>
      <c r="D119" s="9"/>
      <c r="E119" s="9"/>
      <c r="F119" s="9"/>
      <c r="G119" s="10"/>
      <c r="H119" s="10"/>
      <c r="I119" s="10"/>
      <c r="J119" s="10"/>
    </row>
    <row r="120" spans="2:10" x14ac:dyDescent="0.25">
      <c r="B120" s="50"/>
      <c r="C120" s="9"/>
      <c r="D120" s="9"/>
      <c r="E120" s="9"/>
      <c r="F120" s="9"/>
      <c r="G120" s="10"/>
      <c r="H120" s="10"/>
      <c r="I120" s="10"/>
      <c r="J120" s="10"/>
    </row>
    <row r="121" spans="2:10" x14ac:dyDescent="0.25">
      <c r="B121" s="50"/>
      <c r="C121" s="9"/>
      <c r="D121" s="9"/>
      <c r="E121" s="9"/>
      <c r="F121" s="9"/>
      <c r="G121" s="10"/>
      <c r="H121" s="10"/>
      <c r="I121" s="10"/>
      <c r="J121" s="10"/>
    </row>
    <row r="122" spans="2:10" x14ac:dyDescent="0.25">
      <c r="B122" s="50"/>
      <c r="C122" s="9"/>
      <c r="D122" s="9"/>
      <c r="E122" s="9"/>
      <c r="F122" s="9"/>
      <c r="G122" s="10"/>
      <c r="H122" s="10"/>
      <c r="I122" s="10"/>
      <c r="J122" s="10"/>
    </row>
    <row r="123" spans="2:10" x14ac:dyDescent="0.25">
      <c r="B123" s="50"/>
      <c r="C123" s="9"/>
      <c r="D123" s="9"/>
      <c r="E123" s="9"/>
      <c r="F123" s="9"/>
      <c r="G123" s="10"/>
      <c r="H123" s="10"/>
      <c r="I123" s="10"/>
      <c r="J123" s="10"/>
    </row>
    <row r="124" spans="2:10" x14ac:dyDescent="0.25">
      <c r="B124" s="50"/>
      <c r="C124" s="9"/>
      <c r="D124" s="9"/>
      <c r="E124" s="9"/>
      <c r="F124" s="9"/>
      <c r="G124" s="10"/>
      <c r="H124" s="10"/>
      <c r="I124" s="10"/>
      <c r="J124" s="10"/>
    </row>
    <row r="125" spans="2:10" x14ac:dyDescent="0.25">
      <c r="B125" s="50"/>
      <c r="C125" s="9"/>
      <c r="D125" s="9"/>
      <c r="E125" s="9"/>
      <c r="F125" s="9"/>
      <c r="G125" s="10"/>
      <c r="H125" s="10"/>
      <c r="I125" s="10"/>
      <c r="J125" s="10"/>
    </row>
    <row r="126" spans="2:10" x14ac:dyDescent="0.25">
      <c r="B126" s="50"/>
      <c r="C126" s="9"/>
      <c r="D126" s="9"/>
      <c r="E126" s="9"/>
      <c r="F126" s="9"/>
      <c r="G126" s="10"/>
      <c r="H126" s="10"/>
      <c r="I126" s="10"/>
      <c r="J126" s="10"/>
    </row>
    <row r="127" spans="2:10" x14ac:dyDescent="0.25">
      <c r="B127" s="50"/>
      <c r="C127" s="9"/>
      <c r="D127" s="9"/>
      <c r="E127" s="9"/>
      <c r="F127" s="9"/>
      <c r="G127" s="10"/>
      <c r="H127" s="10"/>
      <c r="I127" s="10"/>
      <c r="J127" s="10"/>
    </row>
    <row r="128" spans="2:10" x14ac:dyDescent="0.25">
      <c r="B128" s="50"/>
      <c r="C128" s="9"/>
      <c r="D128" s="9"/>
      <c r="E128" s="9"/>
      <c r="F128" s="9"/>
      <c r="G128" s="10"/>
      <c r="H128" s="10"/>
      <c r="I128" s="10"/>
      <c r="J128" s="10"/>
    </row>
    <row r="129" spans="2:10" x14ac:dyDescent="0.25">
      <c r="B129" s="50"/>
      <c r="C129" s="9"/>
      <c r="D129" s="9"/>
      <c r="E129" s="9"/>
      <c r="F129" s="9"/>
      <c r="G129" s="10"/>
      <c r="H129" s="10"/>
      <c r="I129" s="10"/>
      <c r="J129" s="10"/>
    </row>
    <row r="130" spans="2:10" x14ac:dyDescent="0.25">
      <c r="B130" s="50"/>
      <c r="C130" s="9"/>
      <c r="D130" s="9"/>
      <c r="E130" s="9"/>
      <c r="F130" s="9"/>
      <c r="G130" s="10"/>
      <c r="H130" s="10"/>
      <c r="I130" s="10"/>
      <c r="J130" s="10"/>
    </row>
    <row r="131" spans="2:10" x14ac:dyDescent="0.25">
      <c r="B131" s="50"/>
      <c r="C131" s="9"/>
      <c r="D131" s="9"/>
      <c r="E131" s="9"/>
      <c r="F131" s="9"/>
      <c r="G131" s="10"/>
      <c r="H131" s="10"/>
      <c r="I131" s="10"/>
      <c r="J131" s="10"/>
    </row>
    <row r="132" spans="2:10" x14ac:dyDescent="0.25">
      <c r="B132" s="50"/>
      <c r="C132" s="9"/>
      <c r="D132" s="9"/>
      <c r="E132" s="9"/>
      <c r="F132" s="9"/>
      <c r="G132" s="10"/>
      <c r="H132" s="10"/>
      <c r="I132" s="10"/>
      <c r="J132" s="10"/>
    </row>
    <row r="133" spans="2:10" x14ac:dyDescent="0.25">
      <c r="B133" s="50"/>
      <c r="C133" s="9"/>
      <c r="D133" s="9"/>
      <c r="E133" s="9"/>
      <c r="F133" s="9"/>
      <c r="G133" s="10"/>
      <c r="H133" s="10"/>
      <c r="I133" s="10"/>
      <c r="J133" s="10"/>
    </row>
    <row r="134" spans="2:10" x14ac:dyDescent="0.25">
      <c r="B134" s="50"/>
      <c r="C134" s="9"/>
      <c r="D134" s="9"/>
      <c r="E134" s="9"/>
      <c r="F134" s="9"/>
      <c r="G134" s="10"/>
      <c r="H134" s="10"/>
      <c r="I134" s="10"/>
      <c r="J134" s="10"/>
    </row>
    <row r="135" spans="2:10" x14ac:dyDescent="0.25">
      <c r="B135" s="50"/>
      <c r="C135" s="9"/>
      <c r="D135" s="9"/>
      <c r="E135" s="9"/>
      <c r="F135" s="9"/>
      <c r="G135" s="10"/>
      <c r="H135" s="10"/>
      <c r="I135" s="10"/>
      <c r="J135" s="10"/>
    </row>
    <row r="136" spans="2:10" x14ac:dyDescent="0.25">
      <c r="B136" s="50"/>
      <c r="C136" s="9"/>
      <c r="D136" s="9"/>
      <c r="E136" s="9"/>
      <c r="F136" s="9"/>
      <c r="G136" s="10"/>
      <c r="H136" s="10"/>
      <c r="I136" s="10"/>
      <c r="J136" s="10"/>
    </row>
    <row r="137" spans="2:10" x14ac:dyDescent="0.25">
      <c r="B137" s="50"/>
      <c r="C137" s="9"/>
      <c r="D137" s="9"/>
      <c r="E137" s="9"/>
      <c r="F137" s="9"/>
      <c r="G137" s="10"/>
      <c r="H137" s="10"/>
      <c r="I137" s="10"/>
      <c r="J137" s="10"/>
    </row>
    <row r="138" spans="2:10" x14ac:dyDescent="0.25">
      <c r="B138" s="50"/>
      <c r="C138" s="9"/>
      <c r="D138" s="9"/>
      <c r="E138" s="9"/>
      <c r="F138" s="9"/>
      <c r="G138" s="10"/>
      <c r="H138" s="10"/>
      <c r="I138" s="10"/>
      <c r="J138" s="10"/>
    </row>
    <row r="139" spans="2:10" x14ac:dyDescent="0.25">
      <c r="B139" s="50"/>
      <c r="C139" s="9"/>
      <c r="D139" s="9"/>
      <c r="E139" s="9"/>
      <c r="F139" s="9"/>
      <c r="G139" s="10"/>
      <c r="H139" s="10"/>
      <c r="I139" s="10"/>
      <c r="J139" s="10"/>
    </row>
    <row r="140" spans="2:10" x14ac:dyDescent="0.25">
      <c r="B140" s="50"/>
      <c r="C140" s="9"/>
      <c r="D140" s="9"/>
      <c r="E140" s="9"/>
      <c r="F140" s="9"/>
      <c r="G140" s="10"/>
      <c r="H140" s="10"/>
      <c r="I140" s="10"/>
      <c r="J140" s="10"/>
    </row>
    <row r="141" spans="2:10" x14ac:dyDescent="0.25">
      <c r="B141" s="50"/>
      <c r="C141" s="9"/>
      <c r="D141" s="9"/>
      <c r="E141" s="9"/>
      <c r="F141" s="9"/>
      <c r="G141" s="10"/>
      <c r="H141" s="10"/>
      <c r="I141" s="10"/>
      <c r="J141" s="10"/>
    </row>
    <row r="142" spans="2:10" x14ac:dyDescent="0.25">
      <c r="B142" s="50"/>
      <c r="C142" s="9"/>
      <c r="D142" s="9"/>
      <c r="E142" s="9"/>
      <c r="F142" s="9"/>
      <c r="G142" s="10"/>
      <c r="H142" s="10"/>
      <c r="I142" s="10"/>
      <c r="J142" s="10"/>
    </row>
    <row r="143" spans="2:10" x14ac:dyDescent="0.25">
      <c r="B143" s="50"/>
      <c r="C143" s="9"/>
      <c r="D143" s="9"/>
      <c r="E143" s="9"/>
      <c r="F143" s="9"/>
      <c r="G143" s="10"/>
      <c r="H143" s="10"/>
      <c r="I143" s="10"/>
      <c r="J143" s="10"/>
    </row>
    <row r="144" spans="2:10" x14ac:dyDescent="0.25">
      <c r="B144" s="50"/>
      <c r="C144" s="9"/>
      <c r="D144" s="9"/>
      <c r="E144" s="9"/>
      <c r="F144" s="9"/>
      <c r="G144" s="10"/>
      <c r="H144" s="10"/>
      <c r="I144" s="10"/>
      <c r="J144" s="10"/>
    </row>
    <row r="145" spans="2:10" x14ac:dyDescent="0.25">
      <c r="B145" s="50"/>
      <c r="C145" s="9"/>
      <c r="D145" s="9"/>
      <c r="E145" s="9"/>
      <c r="F145" s="9"/>
      <c r="G145" s="10"/>
      <c r="H145" s="10"/>
      <c r="I145" s="10"/>
      <c r="J145" s="10"/>
    </row>
    <row r="146" spans="2:10" x14ac:dyDescent="0.25">
      <c r="B146" s="50"/>
      <c r="C146" s="9"/>
      <c r="D146" s="9"/>
      <c r="E146" s="9"/>
      <c r="F146" s="9"/>
      <c r="G146" s="10"/>
      <c r="H146" s="10"/>
      <c r="I146" s="10"/>
      <c r="J146" s="10"/>
    </row>
    <row r="147" spans="2:10" x14ac:dyDescent="0.25">
      <c r="B147" s="50"/>
      <c r="C147" s="9"/>
      <c r="D147" s="9"/>
      <c r="E147" s="9"/>
      <c r="F147" s="9"/>
      <c r="G147" s="10"/>
      <c r="H147" s="10"/>
      <c r="I147" s="10"/>
      <c r="J147" s="10"/>
    </row>
    <row r="148" spans="2:10" x14ac:dyDescent="0.25">
      <c r="B148" s="50"/>
      <c r="C148" s="9"/>
      <c r="D148" s="9"/>
      <c r="E148" s="9"/>
      <c r="F148" s="9"/>
      <c r="G148" s="10"/>
      <c r="H148" s="10"/>
      <c r="I148" s="10"/>
      <c r="J148" s="10"/>
    </row>
    <row r="149" spans="2:10" x14ac:dyDescent="0.25">
      <c r="B149" s="50"/>
      <c r="C149" s="9"/>
      <c r="D149" s="9"/>
      <c r="E149" s="9"/>
      <c r="F149" s="9"/>
      <c r="G149" s="10"/>
      <c r="H149" s="10"/>
      <c r="I149" s="10"/>
      <c r="J149" s="10"/>
    </row>
    <row r="150" spans="2:10" x14ac:dyDescent="0.25">
      <c r="B150" s="50"/>
      <c r="C150" s="9"/>
      <c r="D150" s="9"/>
      <c r="E150" s="9"/>
      <c r="F150" s="9"/>
      <c r="G150" s="10"/>
      <c r="H150" s="10"/>
      <c r="I150" s="10"/>
      <c r="J150" s="10"/>
    </row>
    <row r="151" spans="2:10" x14ac:dyDescent="0.25">
      <c r="B151" s="50"/>
      <c r="C151" s="9"/>
      <c r="D151" s="9"/>
      <c r="E151" s="9"/>
      <c r="F151" s="9"/>
      <c r="G151" s="10"/>
      <c r="H151" s="10"/>
      <c r="I151" s="10"/>
      <c r="J151" s="10"/>
    </row>
    <row r="152" spans="2:10" x14ac:dyDescent="0.25">
      <c r="B152" s="50"/>
      <c r="C152" s="9"/>
      <c r="D152" s="9"/>
      <c r="E152" s="9"/>
      <c r="F152" s="9"/>
      <c r="G152" s="10"/>
      <c r="H152" s="10"/>
      <c r="I152" s="10"/>
      <c r="J152" s="10"/>
    </row>
    <row r="153" spans="2:10" x14ac:dyDescent="0.25">
      <c r="B153" s="50"/>
      <c r="C153" s="9"/>
      <c r="D153" s="9"/>
      <c r="E153" s="9"/>
      <c r="F153" s="9"/>
      <c r="G153" s="10"/>
      <c r="H153" s="10"/>
      <c r="I153" s="10"/>
      <c r="J153" s="10"/>
    </row>
    <row r="154" spans="2:10" x14ac:dyDescent="0.25">
      <c r="B154" s="50"/>
      <c r="C154" s="9"/>
      <c r="D154" s="9"/>
      <c r="E154" s="9"/>
      <c r="F154" s="9"/>
      <c r="G154" s="10"/>
      <c r="H154" s="10"/>
      <c r="I154" s="10"/>
      <c r="J154" s="10"/>
    </row>
    <row r="155" spans="2:10" x14ac:dyDescent="0.25">
      <c r="B155" s="50"/>
      <c r="C155" s="9"/>
      <c r="D155" s="9"/>
      <c r="E155" s="9"/>
      <c r="F155" s="9"/>
      <c r="G155" s="10"/>
      <c r="H155" s="10"/>
      <c r="I155" s="10"/>
      <c r="J155" s="10"/>
    </row>
    <row r="156" spans="2:10" x14ac:dyDescent="0.25">
      <c r="B156" s="50"/>
      <c r="C156" s="9"/>
      <c r="D156" s="9"/>
      <c r="E156" s="9"/>
      <c r="F156" s="9"/>
      <c r="G156" s="10"/>
      <c r="H156" s="10"/>
      <c r="I156" s="10"/>
      <c r="J156" s="10"/>
    </row>
    <row r="157" spans="2:10" x14ac:dyDescent="0.25">
      <c r="B157" s="50"/>
      <c r="C157" s="9"/>
      <c r="D157" s="9"/>
      <c r="E157" s="9"/>
      <c r="F157" s="9"/>
      <c r="G157" s="10"/>
      <c r="H157" s="10"/>
      <c r="I157" s="10"/>
      <c r="J157" s="10"/>
    </row>
    <row r="158" spans="2:10" x14ac:dyDescent="0.25">
      <c r="B158" s="50"/>
      <c r="C158" s="9"/>
      <c r="D158" s="9"/>
      <c r="E158" s="9"/>
      <c r="F158" s="9"/>
      <c r="G158" s="10"/>
      <c r="H158" s="10"/>
      <c r="I158" s="10"/>
      <c r="J158" s="10"/>
    </row>
    <row r="159" spans="2:10" x14ac:dyDescent="0.25">
      <c r="B159" s="50"/>
      <c r="C159" s="9"/>
      <c r="D159" s="9"/>
      <c r="E159" s="9"/>
      <c r="F159" s="9"/>
      <c r="G159" s="10"/>
      <c r="H159" s="10"/>
      <c r="I159" s="10"/>
      <c r="J159" s="10"/>
    </row>
    <row r="160" spans="2:10" x14ac:dyDescent="0.25">
      <c r="B160" s="50"/>
      <c r="C160" s="9"/>
      <c r="D160" s="9"/>
      <c r="E160" s="9"/>
      <c r="F160" s="9"/>
      <c r="G160" s="10"/>
      <c r="H160" s="10"/>
      <c r="I160" s="10"/>
      <c r="J160" s="10"/>
    </row>
    <row r="161" spans="2:10" x14ac:dyDescent="0.25">
      <c r="B161" s="50"/>
      <c r="C161" s="9"/>
      <c r="D161" s="9"/>
      <c r="E161" s="9"/>
      <c r="F161" s="9"/>
      <c r="G161" s="10"/>
      <c r="H161" s="10"/>
      <c r="I161" s="10"/>
      <c r="J161" s="10"/>
    </row>
    <row r="162" spans="2:10" x14ac:dyDescent="0.25">
      <c r="B162" s="50"/>
      <c r="C162" s="9"/>
      <c r="D162" s="9"/>
      <c r="E162" s="9"/>
      <c r="F162" s="9"/>
      <c r="G162" s="10"/>
      <c r="H162" s="10"/>
      <c r="I162" s="10"/>
      <c r="J162" s="10"/>
    </row>
    <row r="163" spans="2:10" x14ac:dyDescent="0.25">
      <c r="B163" s="50"/>
      <c r="C163" s="9"/>
      <c r="D163" s="9"/>
      <c r="E163" s="9"/>
      <c r="F163" s="9"/>
      <c r="G163" s="10"/>
      <c r="H163" s="10"/>
      <c r="I163" s="10"/>
      <c r="J163" s="10"/>
    </row>
    <row r="164" spans="2:10" x14ac:dyDescent="0.25">
      <c r="B164" s="50"/>
      <c r="C164" s="9"/>
      <c r="D164" s="9"/>
      <c r="E164" s="9"/>
      <c r="F164" s="9"/>
      <c r="G164" s="10"/>
      <c r="H164" s="10"/>
      <c r="I164" s="10"/>
      <c r="J164" s="10"/>
    </row>
    <row r="165" spans="2:10" x14ac:dyDescent="0.25">
      <c r="B165" s="50"/>
      <c r="C165" s="9"/>
      <c r="D165" s="9"/>
      <c r="E165" s="9"/>
      <c r="F165" s="9"/>
      <c r="G165" s="10"/>
      <c r="H165" s="10"/>
      <c r="I165" s="10"/>
      <c r="J165" s="10"/>
    </row>
    <row r="166" spans="2:10" x14ac:dyDescent="0.25">
      <c r="B166" s="50"/>
      <c r="C166" s="9"/>
      <c r="D166" s="9"/>
      <c r="E166" s="9"/>
      <c r="F166" s="9"/>
      <c r="G166" s="10"/>
      <c r="H166" s="10"/>
      <c r="I166" s="10"/>
      <c r="J166" s="10"/>
    </row>
    <row r="167" spans="2:10" x14ac:dyDescent="0.25">
      <c r="B167" s="50"/>
      <c r="C167" s="9"/>
      <c r="D167" s="9"/>
      <c r="E167" s="9"/>
      <c r="F167" s="9"/>
      <c r="G167" s="10"/>
      <c r="H167" s="10"/>
      <c r="I167" s="10"/>
      <c r="J167" s="10"/>
    </row>
    <row r="168" spans="2:10" x14ac:dyDescent="0.25">
      <c r="B168" s="50"/>
      <c r="C168" s="9"/>
      <c r="D168" s="9"/>
      <c r="E168" s="9"/>
      <c r="F168" s="9"/>
      <c r="G168" s="10"/>
      <c r="H168" s="10"/>
      <c r="I168" s="10"/>
      <c r="J168" s="10"/>
    </row>
    <row r="169" spans="2:10" x14ac:dyDescent="0.25">
      <c r="B169" s="50"/>
      <c r="C169" s="9"/>
      <c r="D169" s="9"/>
      <c r="E169" s="9"/>
      <c r="F169" s="9"/>
      <c r="G169" s="10"/>
      <c r="H169" s="10"/>
      <c r="I169" s="10"/>
      <c r="J169" s="10"/>
    </row>
    <row r="170" spans="2:10" x14ac:dyDescent="0.25">
      <c r="B170" s="50"/>
      <c r="C170" s="9"/>
      <c r="D170" s="9"/>
      <c r="E170" s="9"/>
      <c r="F170" s="9"/>
      <c r="G170" s="10"/>
      <c r="H170" s="10"/>
      <c r="I170" s="10"/>
      <c r="J170" s="10"/>
    </row>
    <row r="171" spans="2:10" x14ac:dyDescent="0.25">
      <c r="B171" s="50"/>
      <c r="C171" s="9"/>
      <c r="D171" s="9"/>
      <c r="E171" s="9"/>
      <c r="F171" s="9"/>
      <c r="G171" s="10"/>
      <c r="H171" s="10"/>
      <c r="I171" s="10"/>
      <c r="J171" s="10"/>
    </row>
    <row r="172" spans="2:10" x14ac:dyDescent="0.25">
      <c r="B172" s="50"/>
      <c r="C172" s="9"/>
      <c r="D172" s="9"/>
      <c r="E172" s="9"/>
      <c r="F172" s="9"/>
      <c r="G172" s="10"/>
      <c r="H172" s="10"/>
      <c r="I172" s="10"/>
      <c r="J172" s="10"/>
    </row>
    <row r="173" spans="2:10" x14ac:dyDescent="0.25">
      <c r="B173" s="50"/>
      <c r="C173" s="9"/>
      <c r="D173" s="9"/>
      <c r="E173" s="9"/>
      <c r="F173" s="9"/>
      <c r="G173" s="10"/>
      <c r="H173" s="10"/>
      <c r="I173" s="10"/>
      <c r="J173" s="10"/>
    </row>
    <row r="174" spans="2:10" x14ac:dyDescent="0.25">
      <c r="B174" s="50"/>
      <c r="C174" s="9"/>
      <c r="D174" s="9"/>
      <c r="E174" s="9"/>
      <c r="F174" s="9"/>
      <c r="G174" s="10"/>
      <c r="H174" s="10"/>
      <c r="I174" s="10"/>
      <c r="J174" s="10"/>
    </row>
    <row r="175" spans="2:10" x14ac:dyDescent="0.25">
      <c r="B175" s="50"/>
      <c r="C175" s="9"/>
      <c r="D175" s="9"/>
      <c r="E175" s="9"/>
      <c r="F175" s="9"/>
      <c r="G175" s="10"/>
      <c r="H175" s="10"/>
      <c r="I175" s="10"/>
      <c r="J175" s="10"/>
    </row>
    <row r="176" spans="2:10" x14ac:dyDescent="0.25">
      <c r="B176" s="50"/>
      <c r="C176" s="9"/>
      <c r="D176" s="9"/>
      <c r="E176" s="9"/>
      <c r="F176" s="9"/>
      <c r="G176" s="10"/>
      <c r="H176" s="10"/>
      <c r="I176" s="10"/>
      <c r="J176" s="10"/>
    </row>
    <row r="177" spans="2:10" x14ac:dyDescent="0.25">
      <c r="B177" s="50"/>
      <c r="C177" s="9"/>
      <c r="D177" s="9"/>
      <c r="E177" s="9"/>
      <c r="F177" s="9"/>
      <c r="G177" s="10"/>
      <c r="H177" s="10"/>
      <c r="I177" s="10"/>
      <c r="J177" s="10"/>
    </row>
    <row r="178" spans="2:10" x14ac:dyDescent="0.25">
      <c r="B178" s="50"/>
      <c r="C178" s="9"/>
      <c r="D178" s="9"/>
      <c r="E178" s="9"/>
      <c r="F178" s="9"/>
      <c r="G178" s="10"/>
      <c r="H178" s="10"/>
      <c r="I178" s="10"/>
      <c r="J178" s="10"/>
    </row>
    <row r="179" spans="2:10" x14ac:dyDescent="0.25">
      <c r="B179" s="50"/>
      <c r="C179" s="9"/>
      <c r="D179" s="9"/>
      <c r="E179" s="9"/>
      <c r="F179" s="9"/>
      <c r="G179" s="10"/>
      <c r="H179" s="10"/>
      <c r="I179" s="10"/>
      <c r="J179" s="10"/>
    </row>
    <row r="180" spans="2:10" x14ac:dyDescent="0.25">
      <c r="B180" s="50"/>
      <c r="C180" s="9"/>
      <c r="D180" s="9"/>
      <c r="E180" s="9"/>
      <c r="F180" s="9"/>
      <c r="G180" s="10"/>
      <c r="H180" s="10"/>
      <c r="I180" s="10"/>
      <c r="J180" s="10"/>
    </row>
    <row r="181" spans="2:10" x14ac:dyDescent="0.25">
      <c r="B181" s="50"/>
      <c r="C181" s="9"/>
      <c r="D181" s="9"/>
      <c r="E181" s="9"/>
      <c r="F181" s="9"/>
      <c r="G181" s="10"/>
      <c r="H181" s="10"/>
      <c r="I181" s="10"/>
      <c r="J181" s="10"/>
    </row>
    <row r="182" spans="2:10" x14ac:dyDescent="0.25">
      <c r="B182" s="50"/>
      <c r="C182" s="9"/>
      <c r="D182" s="9"/>
      <c r="E182" s="9"/>
      <c r="F182" s="9"/>
      <c r="G182" s="10"/>
      <c r="H182" s="10"/>
      <c r="I182" s="10"/>
      <c r="J182" s="10"/>
    </row>
    <row r="183" spans="2:10" x14ac:dyDescent="0.25">
      <c r="B183" s="50"/>
      <c r="C183" s="9"/>
      <c r="D183" s="9"/>
      <c r="E183" s="9"/>
      <c r="F183" s="9"/>
      <c r="G183" s="10"/>
      <c r="H183" s="10"/>
      <c r="I183" s="10"/>
      <c r="J183" s="10"/>
    </row>
    <row r="184" spans="2:10" x14ac:dyDescent="0.25">
      <c r="B184" s="50"/>
      <c r="C184" s="9"/>
      <c r="D184" s="9"/>
      <c r="E184" s="9"/>
      <c r="F184" s="9"/>
      <c r="G184" s="10"/>
      <c r="H184" s="10"/>
      <c r="I184" s="10"/>
      <c r="J184" s="10"/>
    </row>
    <row r="185" spans="2:10" x14ac:dyDescent="0.25">
      <c r="B185" s="50"/>
      <c r="C185" s="9"/>
      <c r="D185" s="9"/>
      <c r="E185" s="9"/>
      <c r="F185" s="9"/>
      <c r="G185" s="10"/>
      <c r="H185" s="10"/>
      <c r="I185" s="10"/>
      <c r="J185" s="10"/>
    </row>
    <row r="186" spans="2:10" x14ac:dyDescent="0.25">
      <c r="B186" s="50"/>
      <c r="C186" s="9"/>
      <c r="D186" s="9"/>
      <c r="E186" s="9"/>
      <c r="F186" s="9"/>
      <c r="G186" s="10"/>
      <c r="H186" s="10"/>
      <c r="I186" s="10"/>
      <c r="J186" s="10"/>
    </row>
    <row r="187" spans="2:10" x14ac:dyDescent="0.25">
      <c r="B187" s="50"/>
      <c r="C187" s="9"/>
      <c r="D187" s="9"/>
      <c r="E187" s="9"/>
      <c r="F187" s="9"/>
      <c r="G187" s="10"/>
      <c r="H187" s="10"/>
      <c r="I187" s="10"/>
      <c r="J187" s="10"/>
    </row>
    <row r="188" spans="2:10" x14ac:dyDescent="0.25">
      <c r="B188" s="50"/>
      <c r="C188" s="9"/>
      <c r="D188" s="9"/>
      <c r="E188" s="9"/>
      <c r="F188" s="9"/>
      <c r="G188" s="10"/>
      <c r="H188" s="10"/>
      <c r="I188" s="10"/>
      <c r="J188" s="10"/>
    </row>
    <row r="189" spans="2:10" x14ac:dyDescent="0.25">
      <c r="B189" s="50"/>
      <c r="C189" s="9"/>
      <c r="D189" s="9"/>
      <c r="E189" s="9"/>
      <c r="F189" s="9"/>
      <c r="G189" s="10"/>
      <c r="H189" s="10"/>
      <c r="I189" s="10"/>
      <c r="J189" s="10"/>
    </row>
    <row r="190" spans="2:10" x14ac:dyDescent="0.25">
      <c r="B190" s="50"/>
      <c r="C190" s="9"/>
      <c r="D190" s="9"/>
      <c r="E190" s="9"/>
      <c r="F190" s="9"/>
      <c r="G190" s="10"/>
      <c r="H190" s="10"/>
      <c r="I190" s="10"/>
      <c r="J190" s="10"/>
    </row>
    <row r="191" spans="2:10" x14ac:dyDescent="0.25">
      <c r="B191" s="50"/>
      <c r="C191" s="9"/>
      <c r="D191" s="9"/>
      <c r="E191" s="9"/>
      <c r="F191" s="9"/>
      <c r="G191" s="10"/>
      <c r="H191" s="10"/>
      <c r="I191" s="10"/>
      <c r="J191" s="10"/>
    </row>
    <row r="192" spans="2:10" x14ac:dyDescent="0.25">
      <c r="B192" s="50"/>
      <c r="C192" s="9"/>
      <c r="D192" s="9"/>
      <c r="E192" s="9"/>
      <c r="F192" s="9"/>
      <c r="G192" s="10"/>
      <c r="H192" s="10"/>
      <c r="I192" s="10"/>
      <c r="J192" s="10"/>
    </row>
    <row r="193" spans="2:10" x14ac:dyDescent="0.25">
      <c r="B193" s="50"/>
      <c r="C193" s="9"/>
      <c r="D193" s="9"/>
      <c r="E193" s="9"/>
      <c r="F193" s="9"/>
      <c r="G193" s="10"/>
      <c r="H193" s="10"/>
      <c r="I193" s="10"/>
      <c r="J193" s="10"/>
    </row>
    <row r="194" spans="2:10" x14ac:dyDescent="0.25">
      <c r="B194" s="50"/>
      <c r="C194" s="9"/>
      <c r="D194" s="9"/>
      <c r="E194" s="9"/>
      <c r="F194" s="9"/>
      <c r="G194" s="10"/>
      <c r="H194" s="10"/>
      <c r="I194" s="10"/>
      <c r="J194" s="10"/>
    </row>
    <row r="195" spans="2:10" x14ac:dyDescent="0.25">
      <c r="B195" s="50"/>
      <c r="C195" s="9"/>
      <c r="D195" s="9"/>
      <c r="E195" s="9"/>
      <c r="F195" s="9"/>
      <c r="G195" s="10"/>
      <c r="H195" s="10"/>
      <c r="I195" s="10"/>
      <c r="J195" s="10"/>
    </row>
    <row r="196" spans="2:10" x14ac:dyDescent="0.25">
      <c r="B196" s="50"/>
      <c r="C196" s="9"/>
      <c r="D196" s="9"/>
      <c r="E196" s="9"/>
      <c r="F196" s="9"/>
      <c r="G196" s="10"/>
      <c r="H196" s="10"/>
      <c r="I196" s="10"/>
      <c r="J196" s="10"/>
    </row>
    <row r="197" spans="2:10" x14ac:dyDescent="0.25">
      <c r="B197" s="50"/>
      <c r="C197" s="9"/>
      <c r="D197" s="9"/>
      <c r="E197" s="9"/>
      <c r="F197" s="9"/>
      <c r="G197" s="10"/>
      <c r="H197" s="10"/>
      <c r="I197" s="10"/>
      <c r="J197" s="10"/>
    </row>
    <row r="198" spans="2:10" x14ac:dyDescent="0.25">
      <c r="B198" s="50"/>
      <c r="C198" s="9"/>
      <c r="D198" s="9"/>
      <c r="E198" s="9"/>
      <c r="F198" s="9"/>
      <c r="G198" s="10"/>
      <c r="H198" s="10"/>
      <c r="I198" s="10"/>
      <c r="J198" s="10"/>
    </row>
    <row r="199" spans="2:10" x14ac:dyDescent="0.25">
      <c r="B199" s="50"/>
      <c r="C199" s="9"/>
      <c r="D199" s="9"/>
      <c r="E199" s="9"/>
      <c r="F199" s="9"/>
      <c r="G199" s="10"/>
      <c r="H199" s="10"/>
      <c r="I199" s="10"/>
      <c r="J199" s="10"/>
    </row>
    <row r="200" spans="2:10" x14ac:dyDescent="0.25">
      <c r="B200" s="50"/>
      <c r="C200" s="9"/>
      <c r="D200" s="9"/>
      <c r="E200" s="9"/>
      <c r="F200" s="9"/>
      <c r="G200" s="10"/>
      <c r="H200" s="10"/>
      <c r="I200" s="10"/>
      <c r="J200" s="10"/>
    </row>
    <row r="201" spans="2:10" x14ac:dyDescent="0.25">
      <c r="B201" s="50"/>
      <c r="C201" s="9"/>
      <c r="D201" s="9"/>
      <c r="E201" s="9"/>
      <c r="F201" s="9"/>
      <c r="G201" s="10"/>
      <c r="H201" s="10"/>
      <c r="I201" s="10"/>
      <c r="J201" s="10"/>
    </row>
    <row r="202" spans="2:10" x14ac:dyDescent="0.25">
      <c r="B202" s="50"/>
      <c r="C202" s="9"/>
      <c r="D202" s="9"/>
      <c r="E202" s="9"/>
      <c r="F202" s="9"/>
      <c r="G202" s="10"/>
      <c r="H202" s="10"/>
      <c r="I202" s="10"/>
      <c r="J202" s="10"/>
    </row>
    <row r="203" spans="2:10" x14ac:dyDescent="0.25">
      <c r="B203" s="50"/>
      <c r="C203" s="9"/>
      <c r="D203" s="9"/>
      <c r="E203" s="9"/>
      <c r="F203" s="9"/>
      <c r="G203" s="10"/>
      <c r="H203" s="10"/>
      <c r="I203" s="10"/>
      <c r="J203" s="10"/>
    </row>
    <row r="204" spans="2:10" x14ac:dyDescent="0.25">
      <c r="B204" s="50"/>
      <c r="C204" s="9"/>
      <c r="D204" s="9"/>
      <c r="E204" s="9"/>
      <c r="F204" s="9"/>
      <c r="G204" s="10"/>
      <c r="H204" s="10"/>
      <c r="I204" s="10"/>
      <c r="J204" s="10"/>
    </row>
    <row r="205" spans="2:10" x14ac:dyDescent="0.25">
      <c r="B205" s="50"/>
      <c r="C205" s="9"/>
      <c r="D205" s="9"/>
      <c r="E205" s="9"/>
      <c r="F205" s="9"/>
      <c r="G205" s="10"/>
      <c r="H205" s="10"/>
      <c r="I205" s="10"/>
      <c r="J205" s="10"/>
    </row>
    <row r="206" spans="2:10" x14ac:dyDescent="0.25">
      <c r="B206" s="50"/>
      <c r="C206" s="9"/>
      <c r="D206" s="9"/>
      <c r="E206" s="9"/>
      <c r="F206" s="9"/>
      <c r="G206" s="10"/>
      <c r="H206" s="10"/>
      <c r="I206" s="10"/>
      <c r="J206" s="10"/>
    </row>
    <row r="207" spans="2:10" x14ac:dyDescent="0.25">
      <c r="B207" s="50"/>
      <c r="C207" s="9"/>
      <c r="D207" s="9"/>
      <c r="E207" s="9"/>
      <c r="F207" s="9"/>
      <c r="G207" s="10"/>
      <c r="H207" s="10"/>
      <c r="I207" s="10"/>
      <c r="J207" s="10"/>
    </row>
    <row r="208" spans="2:10" x14ac:dyDescent="0.25">
      <c r="B208" s="50"/>
      <c r="C208" s="9"/>
      <c r="D208" s="9"/>
      <c r="E208" s="9"/>
      <c r="F208" s="9"/>
      <c r="G208" s="10"/>
      <c r="H208" s="10"/>
      <c r="I208" s="10"/>
      <c r="J208" s="10"/>
    </row>
    <row r="209" spans="2:10" x14ac:dyDescent="0.25">
      <c r="B209" s="50"/>
      <c r="C209" s="9"/>
      <c r="D209" s="9"/>
      <c r="E209" s="9"/>
      <c r="F209" s="9"/>
      <c r="G209" s="10"/>
      <c r="H209" s="10"/>
      <c r="I209" s="10"/>
      <c r="J209" s="10"/>
    </row>
    <row r="210" spans="2:10" x14ac:dyDescent="0.25">
      <c r="B210" s="50"/>
      <c r="C210" s="9"/>
      <c r="D210" s="9"/>
      <c r="E210" s="9"/>
      <c r="F210" s="9"/>
      <c r="G210" s="10"/>
      <c r="H210" s="10"/>
      <c r="I210" s="10"/>
      <c r="J210" s="10"/>
    </row>
    <row r="211" spans="2:10" x14ac:dyDescent="0.25">
      <c r="B211" s="50"/>
      <c r="C211" s="9"/>
      <c r="D211" s="9"/>
      <c r="E211" s="9"/>
      <c r="F211" s="9"/>
      <c r="G211" s="10"/>
      <c r="H211" s="10"/>
      <c r="I211" s="10"/>
      <c r="J211" s="10"/>
    </row>
    <row r="212" spans="2:10" x14ac:dyDescent="0.25">
      <c r="B212" s="50"/>
      <c r="C212" s="9"/>
      <c r="D212" s="9"/>
      <c r="E212" s="9"/>
      <c r="F212" s="9"/>
      <c r="G212" s="10"/>
      <c r="H212" s="10"/>
      <c r="I212" s="10"/>
      <c r="J212" s="10"/>
    </row>
    <row r="213" spans="2:10" x14ac:dyDescent="0.25">
      <c r="B213" s="50"/>
      <c r="C213" s="9"/>
      <c r="D213" s="9"/>
      <c r="E213" s="9"/>
      <c r="F213" s="9"/>
      <c r="G213" s="10"/>
      <c r="H213" s="10"/>
      <c r="I213" s="10"/>
      <c r="J213" s="10"/>
    </row>
    <row r="214" spans="2:10" x14ac:dyDescent="0.25">
      <c r="B214" s="50"/>
      <c r="C214" s="9"/>
      <c r="D214" s="9"/>
      <c r="E214" s="9"/>
      <c r="F214" s="9"/>
      <c r="G214" s="10"/>
      <c r="H214" s="10"/>
      <c r="I214" s="10"/>
      <c r="J214" s="10"/>
    </row>
    <row r="215" spans="2:10" x14ac:dyDescent="0.25">
      <c r="B215" s="50"/>
      <c r="C215" s="9"/>
      <c r="D215" s="9"/>
      <c r="E215" s="9"/>
      <c r="F215" s="9"/>
      <c r="G215" s="10"/>
      <c r="H215" s="10"/>
      <c r="I215" s="10"/>
      <c r="J215" s="10"/>
    </row>
    <row r="216" spans="2:10" x14ac:dyDescent="0.25">
      <c r="B216" s="50"/>
      <c r="C216" s="9"/>
      <c r="D216" s="9"/>
      <c r="E216" s="9"/>
      <c r="F216" s="9"/>
      <c r="G216" s="10"/>
      <c r="H216" s="10"/>
      <c r="I216" s="10"/>
      <c r="J216" s="10"/>
    </row>
    <row r="217" spans="2:10" x14ac:dyDescent="0.25">
      <c r="B217" s="50"/>
      <c r="C217" s="9"/>
      <c r="D217" s="9"/>
      <c r="E217" s="9"/>
      <c r="F217" s="9"/>
      <c r="G217" s="10"/>
      <c r="H217" s="10"/>
      <c r="I217" s="10"/>
      <c r="J217" s="10"/>
    </row>
    <row r="218" spans="2:10" x14ac:dyDescent="0.25">
      <c r="B218" s="50"/>
      <c r="C218" s="9"/>
      <c r="D218" s="9"/>
      <c r="E218" s="9"/>
      <c r="F218" s="9"/>
      <c r="G218" s="10"/>
      <c r="H218" s="10"/>
      <c r="I218" s="10"/>
      <c r="J218" s="10"/>
    </row>
    <row r="219" spans="2:10" x14ac:dyDescent="0.25">
      <c r="B219" s="50"/>
      <c r="C219" s="9"/>
      <c r="D219" s="9"/>
      <c r="E219" s="9"/>
      <c r="F219" s="9"/>
      <c r="G219" s="10"/>
      <c r="H219" s="10"/>
      <c r="I219" s="10"/>
      <c r="J219" s="10"/>
    </row>
    <row r="220" spans="2:10" x14ac:dyDescent="0.25">
      <c r="B220" s="50"/>
      <c r="C220" s="9"/>
      <c r="D220" s="9"/>
      <c r="E220" s="9"/>
      <c r="F220" s="9"/>
      <c r="G220" s="10"/>
      <c r="H220" s="10"/>
      <c r="I220" s="10"/>
      <c r="J220" s="10"/>
    </row>
    <row r="221" spans="2:10" x14ac:dyDescent="0.25">
      <c r="B221" s="50"/>
      <c r="C221" s="9"/>
      <c r="D221" s="9"/>
      <c r="E221" s="9"/>
      <c r="F221" s="9"/>
      <c r="G221" s="10"/>
      <c r="H221" s="10"/>
      <c r="I221" s="10"/>
      <c r="J221" s="10"/>
    </row>
    <row r="222" spans="2:10" x14ac:dyDescent="0.25">
      <c r="B222" s="50"/>
      <c r="C222" s="9"/>
      <c r="D222" s="9"/>
      <c r="E222" s="9"/>
      <c r="F222" s="9"/>
      <c r="G222" s="10"/>
      <c r="H222" s="10"/>
      <c r="I222" s="10"/>
      <c r="J222" s="10"/>
    </row>
    <row r="223" spans="2:10" x14ac:dyDescent="0.25">
      <c r="B223" s="50"/>
      <c r="C223" s="9"/>
      <c r="D223" s="9"/>
      <c r="E223" s="9"/>
      <c r="F223" s="9"/>
      <c r="G223" s="10"/>
      <c r="H223" s="10"/>
      <c r="I223" s="10"/>
      <c r="J223" s="10"/>
    </row>
    <row r="224" spans="2:10" x14ac:dyDescent="0.25">
      <c r="B224" s="50"/>
      <c r="C224" s="9"/>
      <c r="D224" s="9"/>
      <c r="E224" s="9"/>
      <c r="F224" s="9"/>
      <c r="G224" s="10"/>
      <c r="H224" s="10"/>
      <c r="I224" s="10"/>
      <c r="J224" s="10"/>
    </row>
    <row r="225" spans="2:10" x14ac:dyDescent="0.25">
      <c r="B225" s="50"/>
      <c r="C225" s="9"/>
      <c r="D225" s="9"/>
      <c r="E225" s="9"/>
      <c r="F225" s="9"/>
      <c r="G225" s="10"/>
      <c r="H225" s="10"/>
      <c r="I225" s="10"/>
      <c r="J225" s="10"/>
    </row>
    <row r="226" spans="2:10" x14ac:dyDescent="0.25">
      <c r="B226" s="50"/>
      <c r="C226" s="9"/>
      <c r="D226" s="9"/>
      <c r="E226" s="9"/>
      <c r="F226" s="9"/>
      <c r="G226" s="10"/>
      <c r="H226" s="10"/>
      <c r="I226" s="10"/>
      <c r="J226" s="10"/>
    </row>
    <row r="227" spans="2:10" x14ac:dyDescent="0.25">
      <c r="B227" s="50"/>
      <c r="C227" s="9"/>
      <c r="D227" s="9"/>
      <c r="E227" s="9"/>
      <c r="F227" s="9"/>
      <c r="G227" s="10"/>
      <c r="H227" s="10"/>
      <c r="I227" s="10"/>
      <c r="J227" s="10"/>
    </row>
    <row r="228" spans="2:10" x14ac:dyDescent="0.25">
      <c r="B228" s="50"/>
      <c r="C228" s="9"/>
      <c r="D228" s="9"/>
      <c r="E228" s="9"/>
      <c r="F228" s="9"/>
      <c r="G228" s="10"/>
      <c r="H228" s="10"/>
      <c r="I228" s="10"/>
      <c r="J228" s="10"/>
    </row>
    <row r="229" spans="2:10" x14ac:dyDescent="0.25">
      <c r="B229" s="50"/>
      <c r="C229" s="9"/>
      <c r="D229" s="9"/>
      <c r="E229" s="9"/>
      <c r="F229" s="9"/>
      <c r="G229" s="10"/>
      <c r="H229" s="10"/>
      <c r="I229" s="10"/>
      <c r="J229" s="10"/>
    </row>
    <row r="230" spans="2:10" x14ac:dyDescent="0.25">
      <c r="B230" s="50"/>
      <c r="C230" s="9"/>
      <c r="D230" s="9"/>
      <c r="E230" s="9"/>
      <c r="F230" s="9"/>
      <c r="G230" s="10"/>
      <c r="H230" s="10"/>
      <c r="I230" s="10"/>
      <c r="J230" s="10"/>
    </row>
    <row r="231" spans="2:10" x14ac:dyDescent="0.25">
      <c r="B231" s="50"/>
      <c r="C231" s="9"/>
      <c r="D231" s="9"/>
      <c r="E231" s="9"/>
      <c r="F231" s="9"/>
      <c r="G231" s="10"/>
      <c r="H231" s="10"/>
      <c r="I231" s="10"/>
      <c r="J231" s="10"/>
    </row>
    <row r="232" spans="2:10" x14ac:dyDescent="0.25">
      <c r="B232" s="50"/>
      <c r="C232" s="9"/>
      <c r="D232" s="9"/>
      <c r="E232" s="9"/>
      <c r="F232" s="9"/>
      <c r="G232" s="10"/>
      <c r="H232" s="10"/>
      <c r="I232" s="10"/>
      <c r="J232" s="10"/>
    </row>
    <row r="233" spans="2:10" x14ac:dyDescent="0.25">
      <c r="B233" s="50"/>
      <c r="C233" s="9"/>
      <c r="D233" s="9"/>
      <c r="E233" s="9"/>
      <c r="F233" s="9"/>
      <c r="G233" s="10"/>
      <c r="H233" s="10"/>
      <c r="I233" s="10"/>
      <c r="J233" s="10"/>
    </row>
    <row r="234" spans="2:10" x14ac:dyDescent="0.25">
      <c r="B234" s="50"/>
      <c r="C234" s="9"/>
      <c r="D234" s="9"/>
      <c r="E234" s="9"/>
      <c r="F234" s="9"/>
      <c r="G234" s="10"/>
      <c r="H234" s="10"/>
      <c r="I234" s="10"/>
      <c r="J234" s="10"/>
    </row>
    <row r="235" spans="2:10" x14ac:dyDescent="0.25">
      <c r="B235" s="50"/>
      <c r="C235" s="9"/>
      <c r="D235" s="9"/>
      <c r="E235" s="9"/>
      <c r="F235" s="9"/>
      <c r="G235" s="10"/>
      <c r="H235" s="10"/>
      <c r="I235" s="10"/>
      <c r="J235" s="10"/>
    </row>
    <row r="236" spans="2:10" x14ac:dyDescent="0.25">
      <c r="B236" s="50"/>
      <c r="C236" s="9"/>
      <c r="D236" s="9"/>
      <c r="E236" s="9"/>
      <c r="F236" s="9"/>
      <c r="G236" s="10"/>
      <c r="H236" s="10"/>
      <c r="I236" s="10"/>
      <c r="J236" s="10"/>
    </row>
    <row r="237" spans="2:10" x14ac:dyDescent="0.25">
      <c r="B237" s="50"/>
      <c r="C237" s="9"/>
      <c r="D237" s="9"/>
      <c r="E237" s="9"/>
      <c r="F237" s="9"/>
      <c r="G237" s="10"/>
      <c r="H237" s="10"/>
      <c r="I237" s="10"/>
      <c r="J237" s="10"/>
    </row>
    <row r="238" spans="2:10" x14ac:dyDescent="0.25">
      <c r="B238" s="50"/>
      <c r="C238" s="9"/>
      <c r="D238" s="9"/>
      <c r="E238" s="9"/>
      <c r="F238" s="9"/>
      <c r="G238" s="10"/>
      <c r="H238" s="10"/>
      <c r="I238" s="10"/>
      <c r="J238" s="10"/>
    </row>
    <row r="239" spans="2:10" x14ac:dyDescent="0.25">
      <c r="B239" s="50"/>
      <c r="C239" s="9"/>
      <c r="D239" s="9"/>
      <c r="E239" s="9"/>
      <c r="F239" s="9"/>
      <c r="G239" s="10"/>
      <c r="H239" s="10"/>
      <c r="I239" s="10"/>
      <c r="J239" s="10"/>
    </row>
    <row r="240" spans="2:10" x14ac:dyDescent="0.25">
      <c r="B240" s="50"/>
      <c r="C240" s="9"/>
      <c r="D240" s="9"/>
      <c r="E240" s="9"/>
      <c r="F240" s="9"/>
      <c r="G240" s="10"/>
      <c r="H240" s="10"/>
      <c r="I240" s="10"/>
      <c r="J240" s="10"/>
    </row>
    <row r="241" spans="2:10" x14ac:dyDescent="0.25">
      <c r="B241" s="50"/>
      <c r="C241" s="9"/>
      <c r="D241" s="9"/>
      <c r="E241" s="9"/>
      <c r="F241" s="9"/>
      <c r="G241" s="10"/>
      <c r="H241" s="10"/>
      <c r="I241" s="10"/>
      <c r="J241" s="10"/>
    </row>
    <row r="242" spans="2:10" x14ac:dyDescent="0.25">
      <c r="B242" s="50"/>
      <c r="C242" s="9"/>
      <c r="D242" s="9"/>
      <c r="E242" s="9"/>
      <c r="F242" s="9"/>
      <c r="G242" s="10"/>
      <c r="H242" s="10"/>
      <c r="I242" s="10"/>
      <c r="J242" s="10"/>
    </row>
    <row r="243" spans="2:10" x14ac:dyDescent="0.25">
      <c r="B243" s="50"/>
      <c r="C243" s="9"/>
      <c r="D243" s="9"/>
      <c r="E243" s="9"/>
      <c r="F243" s="9"/>
      <c r="G243" s="10"/>
      <c r="H243" s="10"/>
      <c r="I243" s="10"/>
      <c r="J243" s="10"/>
    </row>
    <row r="244" spans="2:10" x14ac:dyDescent="0.25">
      <c r="B244" s="50"/>
      <c r="C244" s="9"/>
      <c r="D244" s="9"/>
      <c r="E244" s="9"/>
      <c r="F244" s="9"/>
      <c r="G244" s="10"/>
      <c r="H244" s="10"/>
      <c r="I244" s="10"/>
      <c r="J244" s="10"/>
    </row>
    <row r="245" spans="2:10" x14ac:dyDescent="0.25">
      <c r="B245" s="50"/>
      <c r="C245" s="9"/>
      <c r="D245" s="9"/>
      <c r="E245" s="9"/>
      <c r="F245" s="9"/>
      <c r="G245" s="10"/>
      <c r="H245" s="10"/>
      <c r="I245" s="10"/>
      <c r="J245" s="10"/>
    </row>
    <row r="246" spans="2:10" x14ac:dyDescent="0.25">
      <c r="B246" s="50"/>
      <c r="C246" s="9"/>
      <c r="D246" s="9"/>
      <c r="E246" s="9"/>
      <c r="F246" s="9"/>
      <c r="G246" s="10"/>
      <c r="H246" s="10"/>
      <c r="I246" s="10"/>
      <c r="J246" s="10"/>
    </row>
    <row r="247" spans="2:10" x14ac:dyDescent="0.25">
      <c r="B247" s="50"/>
      <c r="C247" s="9"/>
      <c r="D247" s="9"/>
      <c r="E247" s="9"/>
      <c r="F247" s="9"/>
      <c r="G247" s="10"/>
      <c r="H247" s="10"/>
      <c r="I247" s="10"/>
      <c r="J247" s="10"/>
    </row>
    <row r="248" spans="2:10" x14ac:dyDescent="0.25">
      <c r="B248" s="50"/>
      <c r="C248" s="9"/>
      <c r="D248" s="9"/>
      <c r="E248" s="9"/>
      <c r="F248" s="9"/>
      <c r="G248" s="10"/>
      <c r="H248" s="10"/>
      <c r="I248" s="10"/>
      <c r="J248" s="10"/>
    </row>
    <row r="249" spans="2:10" x14ac:dyDescent="0.25">
      <c r="B249" s="50"/>
      <c r="C249" s="9"/>
      <c r="D249" s="9"/>
      <c r="E249" s="9"/>
      <c r="F249" s="9"/>
      <c r="G249" s="10"/>
      <c r="H249" s="10"/>
      <c r="I249" s="10"/>
      <c r="J249" s="10"/>
    </row>
    <row r="250" spans="2:10" x14ac:dyDescent="0.25">
      <c r="B250" s="50"/>
      <c r="C250" s="9"/>
      <c r="D250" s="9"/>
      <c r="E250" s="9"/>
      <c r="F250" s="9"/>
      <c r="G250" s="10"/>
      <c r="H250" s="10"/>
      <c r="I250" s="10"/>
      <c r="J250" s="10"/>
    </row>
    <row r="251" spans="2:10" x14ac:dyDescent="0.25">
      <c r="B251" s="50"/>
      <c r="C251" s="9"/>
      <c r="D251" s="9"/>
      <c r="E251" s="9"/>
      <c r="F251" s="9"/>
      <c r="G251" s="10"/>
      <c r="H251" s="10"/>
      <c r="I251" s="10"/>
      <c r="J251" s="10"/>
    </row>
    <row r="252" spans="2:10" x14ac:dyDescent="0.25">
      <c r="B252" s="50"/>
      <c r="C252" s="9"/>
      <c r="D252" s="9"/>
      <c r="E252" s="9"/>
      <c r="F252" s="9"/>
      <c r="G252" s="10"/>
      <c r="H252" s="10"/>
      <c r="I252" s="10"/>
      <c r="J252" s="10"/>
    </row>
    <row r="253" spans="2:10" x14ac:dyDescent="0.25">
      <c r="B253" s="50"/>
      <c r="C253" s="9"/>
      <c r="D253" s="9"/>
      <c r="E253" s="9"/>
      <c r="F253" s="9"/>
      <c r="G253" s="10"/>
      <c r="H253" s="10"/>
      <c r="I253" s="10"/>
      <c r="J253" s="10"/>
    </row>
    <row r="254" spans="2:10" x14ac:dyDescent="0.25">
      <c r="B254" s="50"/>
      <c r="C254" s="9"/>
      <c r="D254" s="9"/>
      <c r="E254" s="9"/>
      <c r="F254" s="9"/>
      <c r="G254" s="10"/>
      <c r="H254" s="10"/>
      <c r="I254" s="10"/>
      <c r="J254" s="10"/>
    </row>
    <row r="255" spans="2:10" x14ac:dyDescent="0.25">
      <c r="B255" s="50"/>
      <c r="C255" s="9"/>
      <c r="D255" s="9"/>
      <c r="E255" s="9"/>
      <c r="F255" s="9"/>
      <c r="G255" s="10"/>
      <c r="H255" s="10"/>
      <c r="I255" s="10"/>
      <c r="J255" s="10"/>
    </row>
    <row r="256" spans="2:10" x14ac:dyDescent="0.25">
      <c r="B256" s="50"/>
      <c r="C256" s="9"/>
      <c r="D256" s="9"/>
      <c r="E256" s="9"/>
      <c r="F256" s="9"/>
      <c r="G256" s="10"/>
      <c r="H256" s="10"/>
      <c r="I256" s="10"/>
      <c r="J256" s="10"/>
    </row>
    <row r="257" spans="2:10" x14ac:dyDescent="0.25">
      <c r="B257" s="50"/>
      <c r="C257" s="9"/>
      <c r="D257" s="9"/>
      <c r="E257" s="9"/>
      <c r="F257" s="9"/>
      <c r="G257" s="10"/>
      <c r="H257" s="10"/>
      <c r="I257" s="10"/>
      <c r="J257" s="10"/>
    </row>
    <row r="258" spans="2:10" x14ac:dyDescent="0.25">
      <c r="B258" s="50"/>
      <c r="C258" s="9"/>
      <c r="D258" s="9"/>
      <c r="E258" s="9"/>
      <c r="F258" s="9"/>
      <c r="G258" s="10"/>
      <c r="H258" s="10"/>
      <c r="I258" s="10"/>
      <c r="J258" s="10"/>
    </row>
    <row r="259" spans="2:10" x14ac:dyDescent="0.25">
      <c r="B259" s="50"/>
      <c r="C259" s="9"/>
      <c r="D259" s="9"/>
      <c r="E259" s="9"/>
      <c r="F259" s="9"/>
      <c r="G259" s="10"/>
      <c r="H259" s="10"/>
      <c r="I259" s="10"/>
      <c r="J259" s="10"/>
    </row>
    <row r="260" spans="2:10" x14ac:dyDescent="0.25">
      <c r="B260" s="50"/>
      <c r="C260" s="9"/>
      <c r="D260" s="9"/>
      <c r="E260" s="9"/>
      <c r="F260" s="9"/>
      <c r="G260" s="10"/>
      <c r="H260" s="10"/>
      <c r="I260" s="10"/>
      <c r="J260" s="10"/>
    </row>
    <row r="261" spans="2:10" x14ac:dyDescent="0.25">
      <c r="B261" s="50"/>
      <c r="C261" s="9"/>
      <c r="D261" s="9"/>
      <c r="E261" s="9"/>
      <c r="F261" s="9"/>
      <c r="G261" s="10"/>
      <c r="H261" s="10"/>
      <c r="I261" s="10"/>
      <c r="J261" s="10"/>
    </row>
    <row r="262" spans="2:10" x14ac:dyDescent="0.25">
      <c r="B262" s="50"/>
      <c r="C262" s="9"/>
      <c r="D262" s="9"/>
      <c r="E262" s="9"/>
      <c r="F262" s="9"/>
      <c r="G262" s="10"/>
      <c r="H262" s="10"/>
      <c r="I262" s="10"/>
      <c r="J262" s="10"/>
    </row>
    <row r="263" spans="2:10" x14ac:dyDescent="0.25">
      <c r="B263" s="50"/>
      <c r="C263" s="9"/>
      <c r="D263" s="9"/>
      <c r="E263" s="9"/>
      <c r="F263" s="9"/>
      <c r="G263" s="10"/>
      <c r="H263" s="10"/>
      <c r="I263" s="10"/>
      <c r="J263" s="10"/>
    </row>
    <row r="264" spans="2:10" x14ac:dyDescent="0.25">
      <c r="B264" s="50"/>
      <c r="C264" s="9"/>
      <c r="D264" s="9"/>
      <c r="E264" s="9"/>
      <c r="F264" s="9"/>
      <c r="G264" s="10"/>
      <c r="H264" s="10"/>
      <c r="I264" s="10"/>
      <c r="J264" s="10"/>
    </row>
    <row r="265" spans="2:10" x14ac:dyDescent="0.25">
      <c r="B265" s="50"/>
      <c r="C265" s="9"/>
      <c r="D265" s="9"/>
      <c r="E265" s="9"/>
      <c r="F265" s="9"/>
      <c r="G265" s="10"/>
      <c r="H265" s="10"/>
      <c r="I265" s="10"/>
      <c r="J265" s="10"/>
    </row>
    <row r="266" spans="2:10" x14ac:dyDescent="0.25">
      <c r="B266" s="50"/>
      <c r="C266" s="9"/>
      <c r="D266" s="9"/>
      <c r="E266" s="9"/>
      <c r="F266" s="9"/>
      <c r="G266" s="10"/>
      <c r="H266" s="10"/>
      <c r="I266" s="10"/>
      <c r="J266" s="10"/>
    </row>
    <row r="267" spans="2:10" x14ac:dyDescent="0.25">
      <c r="B267" s="50"/>
      <c r="C267" s="9"/>
      <c r="D267" s="9"/>
      <c r="E267" s="9"/>
      <c r="F267" s="9"/>
      <c r="G267" s="10"/>
      <c r="H267" s="10"/>
      <c r="I267" s="10"/>
      <c r="J267" s="10"/>
    </row>
    <row r="268" spans="2:10" x14ac:dyDescent="0.25">
      <c r="B268" s="50"/>
      <c r="C268" s="9"/>
      <c r="D268" s="9"/>
      <c r="E268" s="9"/>
      <c r="F268" s="9"/>
      <c r="G268" s="10"/>
      <c r="H268" s="10"/>
      <c r="I268" s="10"/>
      <c r="J268" s="10"/>
    </row>
    <row r="269" spans="2:10" x14ac:dyDescent="0.25">
      <c r="B269" s="50"/>
      <c r="C269" s="9"/>
      <c r="D269" s="9"/>
      <c r="E269" s="9"/>
      <c r="F269" s="9"/>
      <c r="G269" s="10"/>
      <c r="H269" s="10"/>
      <c r="I269" s="10"/>
      <c r="J269" s="10"/>
    </row>
    <row r="270" spans="2:10" x14ac:dyDescent="0.25">
      <c r="B270" s="50"/>
      <c r="C270" s="9"/>
      <c r="D270" s="9"/>
      <c r="E270" s="9"/>
      <c r="F270" s="9"/>
      <c r="G270" s="10"/>
      <c r="H270" s="10"/>
      <c r="I270" s="10"/>
      <c r="J270" s="10"/>
    </row>
    <row r="271" spans="2:10" x14ac:dyDescent="0.25">
      <c r="B271" s="50"/>
      <c r="C271" s="9"/>
      <c r="D271" s="9"/>
      <c r="E271" s="9"/>
      <c r="F271" s="9"/>
      <c r="G271" s="10"/>
      <c r="H271" s="10"/>
      <c r="I271" s="10"/>
      <c r="J271" s="10"/>
    </row>
    <row r="272" spans="2:10" x14ac:dyDescent="0.25">
      <c r="B272" s="50"/>
      <c r="C272" s="9"/>
      <c r="D272" s="9"/>
      <c r="E272" s="9"/>
      <c r="F272" s="9"/>
      <c r="G272" s="10"/>
      <c r="H272" s="10"/>
      <c r="I272" s="10"/>
      <c r="J272" s="10"/>
    </row>
    <row r="273" spans="2:10" x14ac:dyDescent="0.25">
      <c r="B273" s="50"/>
      <c r="C273" s="9"/>
      <c r="D273" s="9"/>
      <c r="E273" s="9"/>
      <c r="F273" s="9"/>
      <c r="G273" s="10"/>
      <c r="H273" s="10"/>
      <c r="I273" s="10"/>
      <c r="J273" s="10"/>
    </row>
    <row r="274" spans="2:10" x14ac:dyDescent="0.25">
      <c r="B274" s="50"/>
      <c r="C274" s="9"/>
      <c r="D274" s="9"/>
      <c r="E274" s="9"/>
      <c r="F274" s="9"/>
      <c r="G274" s="10"/>
      <c r="H274" s="10"/>
      <c r="I274" s="10"/>
      <c r="J274" s="10"/>
    </row>
    <row r="275" spans="2:10" x14ac:dyDescent="0.25">
      <c r="B275" s="50"/>
      <c r="C275" s="9"/>
      <c r="D275" s="9"/>
      <c r="E275" s="9"/>
      <c r="F275" s="9"/>
      <c r="G275" s="10"/>
      <c r="H275" s="10"/>
      <c r="I275" s="10"/>
      <c r="J275" s="10"/>
    </row>
    <row r="276" spans="2:10" x14ac:dyDescent="0.25">
      <c r="B276" s="50"/>
      <c r="C276" s="9"/>
      <c r="D276" s="9"/>
      <c r="E276" s="9"/>
      <c r="F276" s="9"/>
      <c r="G276" s="10"/>
      <c r="H276" s="10"/>
      <c r="I276" s="10"/>
      <c r="J276" s="10"/>
    </row>
    <row r="277" spans="2:10" x14ac:dyDescent="0.25">
      <c r="B277" s="50"/>
      <c r="C277" s="9"/>
      <c r="D277" s="9"/>
      <c r="E277" s="9"/>
      <c r="F277" s="9"/>
      <c r="G277" s="10"/>
      <c r="H277" s="10"/>
      <c r="I277" s="10"/>
      <c r="J277" s="10"/>
    </row>
    <row r="278" spans="2:10" x14ac:dyDescent="0.25">
      <c r="B278" s="50"/>
      <c r="C278" s="9"/>
      <c r="D278" s="9"/>
      <c r="E278" s="9"/>
      <c r="F278" s="9"/>
      <c r="G278" s="10"/>
      <c r="H278" s="10"/>
      <c r="I278" s="10"/>
      <c r="J278" s="10"/>
    </row>
    <row r="279" spans="2:10" x14ac:dyDescent="0.25">
      <c r="B279" s="50"/>
      <c r="C279" s="9"/>
      <c r="D279" s="9"/>
      <c r="E279" s="9"/>
      <c r="F279" s="9"/>
      <c r="G279" s="10"/>
      <c r="H279" s="10"/>
      <c r="I279" s="10"/>
      <c r="J279" s="10"/>
    </row>
    <row r="280" spans="2:10" x14ac:dyDescent="0.25">
      <c r="B280" s="50"/>
      <c r="C280" s="9"/>
      <c r="D280" s="9"/>
      <c r="E280" s="9"/>
      <c r="F280" s="9"/>
      <c r="G280" s="10"/>
      <c r="H280" s="10"/>
      <c r="I280" s="10"/>
      <c r="J280" s="10"/>
    </row>
    <row r="281" spans="2:10" x14ac:dyDescent="0.25">
      <c r="B281" s="50"/>
      <c r="C281" s="9"/>
      <c r="D281" s="9"/>
      <c r="E281" s="9"/>
      <c r="F281" s="9"/>
      <c r="G281" s="10"/>
      <c r="H281" s="10"/>
      <c r="I281" s="10"/>
      <c r="J281" s="10"/>
    </row>
    <row r="282" spans="2:10" x14ac:dyDescent="0.25">
      <c r="B282" s="50"/>
      <c r="C282" s="9"/>
      <c r="D282" s="9"/>
      <c r="E282" s="9"/>
      <c r="F282" s="9"/>
      <c r="G282" s="10"/>
      <c r="H282" s="10"/>
      <c r="I282" s="10"/>
      <c r="J282" s="10"/>
    </row>
    <row r="283" spans="2:10" x14ac:dyDescent="0.25">
      <c r="B283" s="50"/>
      <c r="C283" s="9"/>
      <c r="D283" s="9"/>
      <c r="E283" s="9"/>
      <c r="F283" s="9"/>
      <c r="G283" s="10"/>
      <c r="H283" s="10"/>
      <c r="I283" s="10"/>
      <c r="J283" s="10"/>
    </row>
    <row r="284" spans="2:10" x14ac:dyDescent="0.25">
      <c r="B284" s="50"/>
      <c r="C284" s="9"/>
      <c r="D284" s="9"/>
      <c r="E284" s="9"/>
      <c r="F284" s="9"/>
      <c r="G284" s="10"/>
      <c r="H284" s="10"/>
      <c r="I284" s="10"/>
      <c r="J284" s="10"/>
    </row>
    <row r="285" spans="2:10" x14ac:dyDescent="0.25">
      <c r="B285" s="50"/>
      <c r="C285" s="9"/>
      <c r="D285" s="9"/>
      <c r="E285" s="9"/>
      <c r="F285" s="9"/>
      <c r="G285" s="10"/>
      <c r="H285" s="10"/>
      <c r="I285" s="10"/>
      <c r="J285" s="10"/>
    </row>
    <row r="286" spans="2:10" x14ac:dyDescent="0.25">
      <c r="B286" s="50"/>
      <c r="C286" s="9"/>
      <c r="D286" s="9"/>
      <c r="E286" s="9"/>
      <c r="F286" s="9"/>
      <c r="G286" s="10"/>
      <c r="H286" s="10"/>
      <c r="I286" s="10"/>
      <c r="J286" s="10"/>
    </row>
    <row r="287" spans="2:10" x14ac:dyDescent="0.25">
      <c r="B287" s="50"/>
      <c r="C287" s="9"/>
      <c r="D287" s="9"/>
      <c r="E287" s="9"/>
      <c r="F287" s="9"/>
      <c r="G287" s="10"/>
      <c r="H287" s="10"/>
      <c r="I287" s="10"/>
      <c r="J287" s="10"/>
    </row>
    <row r="288" spans="2:10" x14ac:dyDescent="0.25">
      <c r="B288" s="50"/>
      <c r="C288" s="9"/>
      <c r="D288" s="9"/>
      <c r="E288" s="9"/>
      <c r="F288" s="9"/>
      <c r="G288" s="10"/>
      <c r="H288" s="10"/>
      <c r="I288" s="10"/>
      <c r="J288" s="10"/>
    </row>
    <row r="289" spans="2:10" x14ac:dyDescent="0.25">
      <c r="B289" s="50"/>
      <c r="C289" s="9"/>
      <c r="D289" s="9"/>
      <c r="E289" s="9"/>
      <c r="F289" s="9"/>
      <c r="G289" s="10"/>
      <c r="H289" s="10"/>
      <c r="I289" s="10"/>
      <c r="J289" s="10"/>
    </row>
    <row r="290" spans="2:10" x14ac:dyDescent="0.25">
      <c r="B290" s="50"/>
      <c r="C290" s="9"/>
      <c r="D290" s="9"/>
      <c r="E290" s="9"/>
      <c r="F290" s="9"/>
      <c r="G290" s="10"/>
      <c r="H290" s="10"/>
      <c r="I290" s="10"/>
      <c r="J290" s="10"/>
    </row>
    <row r="291" spans="2:10" x14ac:dyDescent="0.25">
      <c r="B291" s="50"/>
      <c r="C291" s="9"/>
      <c r="D291" s="9"/>
      <c r="E291" s="9"/>
      <c r="F291" s="9"/>
      <c r="G291" s="10"/>
      <c r="H291" s="10"/>
      <c r="I291" s="10"/>
      <c r="J291" s="10"/>
    </row>
    <row r="292" spans="2:10" x14ac:dyDescent="0.25">
      <c r="B292" s="50"/>
      <c r="C292" s="9"/>
      <c r="D292" s="9"/>
      <c r="E292" s="9"/>
      <c r="F292" s="9"/>
      <c r="G292" s="10"/>
      <c r="H292" s="10"/>
      <c r="I292" s="10"/>
      <c r="J292" s="10"/>
    </row>
    <row r="293" spans="2:10" x14ac:dyDescent="0.25">
      <c r="B293" s="50"/>
      <c r="C293" s="9"/>
      <c r="D293" s="9"/>
      <c r="E293" s="9"/>
      <c r="F293" s="9"/>
      <c r="G293" s="10"/>
      <c r="H293" s="10"/>
      <c r="I293" s="10"/>
      <c r="J293" s="10"/>
    </row>
    <row r="294" spans="2:10" x14ac:dyDescent="0.25">
      <c r="B294" s="50"/>
      <c r="C294" s="9"/>
      <c r="D294" s="9"/>
      <c r="E294" s="9"/>
      <c r="F294" s="9"/>
      <c r="G294" s="10"/>
      <c r="H294" s="10"/>
      <c r="I294" s="10"/>
      <c r="J294" s="10"/>
    </row>
    <row r="295" spans="2:10" x14ac:dyDescent="0.25">
      <c r="B295" s="50"/>
      <c r="C295" s="9"/>
      <c r="D295" s="9"/>
      <c r="E295" s="9"/>
      <c r="F295" s="9"/>
      <c r="G295" s="10"/>
      <c r="H295" s="10"/>
      <c r="I295" s="10"/>
      <c r="J295" s="10"/>
    </row>
    <row r="296" spans="2:10" x14ac:dyDescent="0.25">
      <c r="B296" s="50"/>
      <c r="C296" s="9"/>
      <c r="D296" s="9"/>
      <c r="E296" s="9"/>
      <c r="F296" s="9"/>
      <c r="G296" s="10"/>
      <c r="H296" s="10"/>
      <c r="I296" s="10"/>
      <c r="J296" s="10"/>
    </row>
    <row r="297" spans="2:10" x14ac:dyDescent="0.25">
      <c r="B297" s="50"/>
      <c r="C297" s="9"/>
      <c r="D297" s="9"/>
      <c r="E297" s="9"/>
      <c r="F297" s="9"/>
      <c r="G297" s="10"/>
      <c r="H297" s="10"/>
      <c r="I297" s="10"/>
      <c r="J297" s="10"/>
    </row>
    <row r="298" spans="2:10" x14ac:dyDescent="0.25">
      <c r="B298" s="50"/>
      <c r="C298" s="9"/>
      <c r="D298" s="9"/>
      <c r="E298" s="9"/>
      <c r="F298" s="9"/>
      <c r="G298" s="10"/>
      <c r="H298" s="10"/>
      <c r="I298" s="10"/>
      <c r="J298" s="10"/>
    </row>
    <row r="299" spans="2:10" x14ac:dyDescent="0.25">
      <c r="B299" s="50"/>
      <c r="C299" s="9"/>
      <c r="D299" s="9"/>
      <c r="E299" s="9"/>
      <c r="F299" s="9"/>
      <c r="G299" s="10"/>
      <c r="H299" s="10"/>
      <c r="I299" s="10"/>
      <c r="J299" s="10"/>
    </row>
    <row r="300" spans="2:10" x14ac:dyDescent="0.25">
      <c r="B300" s="50"/>
      <c r="C300" s="9"/>
      <c r="D300" s="9"/>
      <c r="E300" s="9"/>
      <c r="F300" s="9"/>
      <c r="G300" s="10"/>
      <c r="H300" s="10"/>
      <c r="I300" s="10"/>
      <c r="J300" s="10"/>
    </row>
    <row r="301" spans="2:10" x14ac:dyDescent="0.25">
      <c r="B301" s="50"/>
      <c r="C301" s="9"/>
      <c r="D301" s="9"/>
      <c r="E301" s="9"/>
      <c r="F301" s="9"/>
      <c r="G301" s="10"/>
      <c r="H301" s="10"/>
      <c r="I301" s="10"/>
      <c r="J301" s="10"/>
    </row>
    <row r="302" spans="2:10" x14ac:dyDescent="0.25">
      <c r="B302" s="50"/>
      <c r="C302" s="9"/>
      <c r="D302" s="9"/>
      <c r="E302" s="9"/>
      <c r="F302" s="9"/>
      <c r="G302" s="10"/>
      <c r="H302" s="10"/>
      <c r="I302" s="10"/>
      <c r="J302" s="10"/>
    </row>
    <row r="303" spans="2:10" x14ac:dyDescent="0.25">
      <c r="B303" s="50"/>
      <c r="C303" s="9"/>
      <c r="D303" s="9"/>
      <c r="E303" s="9"/>
      <c r="F303" s="9"/>
      <c r="G303" s="10"/>
      <c r="H303" s="10"/>
      <c r="I303" s="10"/>
      <c r="J303" s="10"/>
    </row>
    <row r="304" spans="2:10" x14ac:dyDescent="0.25">
      <c r="B304" s="50"/>
      <c r="C304" s="9"/>
      <c r="D304" s="9"/>
      <c r="E304" s="9"/>
      <c r="F304" s="9"/>
      <c r="G304" s="10"/>
      <c r="H304" s="10"/>
      <c r="I304" s="10"/>
      <c r="J304" s="10"/>
    </row>
    <row r="305" spans="2:10" x14ac:dyDescent="0.25">
      <c r="B305" s="50"/>
      <c r="C305" s="9"/>
      <c r="D305" s="9"/>
      <c r="E305" s="9"/>
      <c r="F305" s="9"/>
      <c r="G305" s="10"/>
      <c r="H305" s="10"/>
      <c r="I305" s="10"/>
      <c r="J305" s="10"/>
    </row>
    <row r="306" spans="2:10" x14ac:dyDescent="0.25">
      <c r="B306" s="50"/>
      <c r="C306" s="9"/>
      <c r="D306" s="9"/>
      <c r="E306" s="9"/>
      <c r="F306" s="9"/>
      <c r="G306" s="10"/>
      <c r="H306" s="10"/>
      <c r="I306" s="10"/>
      <c r="J306" s="10"/>
    </row>
    <row r="307" spans="2:10" x14ac:dyDescent="0.25">
      <c r="B307" s="50"/>
      <c r="C307" s="9"/>
      <c r="D307" s="9"/>
      <c r="E307" s="9"/>
      <c r="F307" s="9"/>
      <c r="G307" s="10"/>
      <c r="H307" s="10"/>
      <c r="I307" s="10"/>
      <c r="J307" s="10"/>
    </row>
    <row r="308" spans="2:10" x14ac:dyDescent="0.25">
      <c r="B308" s="50"/>
      <c r="C308" s="9"/>
      <c r="D308" s="9"/>
      <c r="E308" s="9"/>
      <c r="F308" s="9"/>
      <c r="G308" s="10"/>
      <c r="H308" s="10"/>
      <c r="I308" s="10"/>
      <c r="J308" s="10"/>
    </row>
    <row r="309" spans="2:10" x14ac:dyDescent="0.25">
      <c r="B309" s="50"/>
      <c r="C309" s="9"/>
      <c r="D309" s="9"/>
      <c r="E309" s="9"/>
      <c r="F309" s="9"/>
      <c r="G309" s="10"/>
      <c r="H309" s="10"/>
      <c r="I309" s="10"/>
      <c r="J309" s="10"/>
    </row>
    <row r="310" spans="2:10" x14ac:dyDescent="0.25">
      <c r="B310" s="50"/>
      <c r="C310" s="9"/>
      <c r="D310" s="9"/>
      <c r="E310" s="9"/>
      <c r="F310" s="9"/>
      <c r="G310" s="10"/>
      <c r="H310" s="10"/>
      <c r="I310" s="10"/>
      <c r="J310" s="10"/>
    </row>
    <row r="311" spans="2:10" x14ac:dyDescent="0.25">
      <c r="B311" s="50"/>
      <c r="C311" s="9"/>
      <c r="D311" s="9"/>
      <c r="E311" s="9"/>
      <c r="F311" s="9"/>
      <c r="G311" s="10"/>
      <c r="H311" s="10"/>
      <c r="I311" s="10"/>
      <c r="J311" s="10"/>
    </row>
    <row r="312" spans="2:10" x14ac:dyDescent="0.25">
      <c r="B312" s="50"/>
      <c r="C312" s="9"/>
      <c r="D312" s="9"/>
      <c r="E312" s="9"/>
      <c r="F312" s="9"/>
      <c r="G312" s="10"/>
      <c r="H312" s="10"/>
      <c r="I312" s="10"/>
      <c r="J312" s="10"/>
    </row>
    <row r="313" spans="2:10" x14ac:dyDescent="0.25">
      <c r="B313" s="50"/>
      <c r="C313" s="9"/>
      <c r="D313" s="9"/>
      <c r="E313" s="9"/>
      <c r="F313" s="9"/>
      <c r="G313" s="10"/>
      <c r="H313" s="10"/>
      <c r="I313" s="10"/>
      <c r="J313" s="10"/>
    </row>
    <row r="314" spans="2:10" x14ac:dyDescent="0.25">
      <c r="B314" s="50"/>
      <c r="C314" s="9"/>
      <c r="D314" s="9"/>
      <c r="E314" s="9"/>
      <c r="F314" s="9"/>
      <c r="G314" s="10"/>
      <c r="H314" s="10"/>
      <c r="I314" s="10"/>
      <c r="J314" s="10"/>
    </row>
    <row r="315" spans="2:10" x14ac:dyDescent="0.25">
      <c r="B315" s="50"/>
      <c r="C315" s="9"/>
      <c r="D315" s="9"/>
      <c r="E315" s="9"/>
      <c r="F315" s="9"/>
      <c r="G315" s="10"/>
      <c r="H315" s="10"/>
      <c r="I315" s="10"/>
      <c r="J315" s="10"/>
    </row>
    <row r="316" spans="2:10" x14ac:dyDescent="0.25">
      <c r="B316" s="50"/>
      <c r="C316" s="9"/>
      <c r="D316" s="9"/>
      <c r="E316" s="9"/>
      <c r="F316" s="9"/>
      <c r="G316" s="10"/>
      <c r="H316" s="10"/>
      <c r="I316" s="10"/>
      <c r="J316" s="10"/>
    </row>
    <row r="317" spans="2:10" x14ac:dyDescent="0.25">
      <c r="B317" s="50"/>
      <c r="C317" s="9"/>
      <c r="D317" s="9"/>
      <c r="E317" s="9"/>
      <c r="F317" s="9"/>
      <c r="G317" s="10"/>
      <c r="H317" s="10"/>
      <c r="I317" s="10"/>
      <c r="J317" s="10"/>
    </row>
    <row r="318" spans="2:10" x14ac:dyDescent="0.25">
      <c r="B318" s="50"/>
      <c r="C318" s="9"/>
      <c r="D318" s="9"/>
      <c r="E318" s="9"/>
      <c r="F318" s="9"/>
      <c r="G318" s="10"/>
      <c r="H318" s="10"/>
      <c r="I318" s="10"/>
      <c r="J318" s="10"/>
    </row>
    <row r="319" spans="2:10" x14ac:dyDescent="0.25">
      <c r="B319" s="50"/>
      <c r="C319" s="9"/>
      <c r="D319" s="9"/>
      <c r="E319" s="9"/>
      <c r="F319" s="9"/>
      <c r="G319" s="10"/>
      <c r="H319" s="10"/>
      <c r="I319" s="10"/>
      <c r="J319" s="10"/>
    </row>
    <row r="320" spans="2:10" x14ac:dyDescent="0.25">
      <c r="B320" s="50"/>
      <c r="C320" s="9"/>
      <c r="D320" s="9"/>
      <c r="E320" s="9"/>
      <c r="F320" s="9"/>
      <c r="G320" s="10"/>
      <c r="H320" s="10"/>
      <c r="I320" s="10"/>
      <c r="J320" s="10"/>
    </row>
    <row r="321" spans="2:10" x14ac:dyDescent="0.25">
      <c r="B321" s="50"/>
      <c r="C321" s="9"/>
      <c r="D321" s="9"/>
      <c r="E321" s="9"/>
      <c r="F321" s="9"/>
      <c r="G321" s="10"/>
      <c r="H321" s="10"/>
      <c r="I321" s="10"/>
      <c r="J321" s="10"/>
    </row>
    <row r="322" spans="2:10" x14ac:dyDescent="0.25">
      <c r="B322" s="50"/>
      <c r="C322" s="9"/>
      <c r="D322" s="9"/>
      <c r="E322" s="9"/>
      <c r="F322" s="9"/>
      <c r="G322" s="10"/>
      <c r="H322" s="10"/>
      <c r="I322" s="10"/>
      <c r="J322" s="10"/>
    </row>
    <row r="323" spans="2:10" x14ac:dyDescent="0.25">
      <c r="B323" s="50"/>
      <c r="C323" s="9"/>
      <c r="D323" s="9"/>
      <c r="E323" s="9"/>
      <c r="F323" s="9"/>
      <c r="G323" s="10"/>
      <c r="H323" s="10"/>
      <c r="I323" s="10"/>
      <c r="J323" s="10"/>
    </row>
    <row r="324" spans="2:10" x14ac:dyDescent="0.25">
      <c r="B324" s="50"/>
      <c r="C324" s="9"/>
      <c r="D324" s="9"/>
      <c r="E324" s="9"/>
      <c r="F324" s="9"/>
      <c r="G324" s="10"/>
      <c r="H324" s="10"/>
      <c r="I324" s="10"/>
      <c r="J324" s="10"/>
    </row>
    <row r="325" spans="2:10" x14ac:dyDescent="0.25">
      <c r="B325" s="50"/>
      <c r="C325" s="9"/>
      <c r="D325" s="9"/>
      <c r="E325" s="9"/>
      <c r="F325" s="9"/>
      <c r="G325" s="10"/>
      <c r="H325" s="10"/>
      <c r="I325" s="10"/>
      <c r="J325" s="10"/>
    </row>
    <row r="326" spans="2:10" x14ac:dyDescent="0.25">
      <c r="B326" s="50"/>
      <c r="C326" s="9"/>
      <c r="D326" s="9"/>
      <c r="E326" s="9"/>
      <c r="F326" s="9"/>
      <c r="G326" s="10"/>
      <c r="H326" s="10"/>
      <c r="I326" s="10"/>
      <c r="J326" s="10"/>
    </row>
    <row r="327" spans="2:10" x14ac:dyDescent="0.25">
      <c r="B327" s="50"/>
      <c r="C327" s="9"/>
      <c r="D327" s="9"/>
      <c r="E327" s="9"/>
      <c r="F327" s="9"/>
      <c r="G327" s="10"/>
      <c r="H327" s="10"/>
      <c r="I327" s="10"/>
      <c r="J327" s="10"/>
    </row>
    <row r="328" spans="2:10" x14ac:dyDescent="0.25">
      <c r="B328" s="50"/>
      <c r="C328" s="9"/>
      <c r="D328" s="9"/>
      <c r="E328" s="9"/>
      <c r="F328" s="9"/>
      <c r="G328" s="10"/>
      <c r="H328" s="10"/>
      <c r="I328" s="10"/>
      <c r="J328" s="10"/>
    </row>
    <row r="329" spans="2:10" x14ac:dyDescent="0.25">
      <c r="B329" s="50"/>
      <c r="C329" s="9"/>
      <c r="D329" s="9"/>
      <c r="E329" s="9"/>
      <c r="F329" s="9"/>
      <c r="G329" s="10"/>
      <c r="H329" s="10"/>
      <c r="I329" s="10"/>
      <c r="J329" s="10"/>
    </row>
    <row r="330" spans="2:10" x14ac:dyDescent="0.25">
      <c r="B330" s="50"/>
      <c r="C330" s="9"/>
      <c r="D330" s="9"/>
      <c r="E330" s="9"/>
      <c r="F330" s="9"/>
      <c r="G330" s="10"/>
      <c r="H330" s="10"/>
      <c r="I330" s="10"/>
      <c r="J330" s="10"/>
    </row>
    <row r="331" spans="2:10" x14ac:dyDescent="0.25">
      <c r="B331" s="50"/>
      <c r="C331" s="9"/>
      <c r="D331" s="9"/>
      <c r="E331" s="9"/>
      <c r="F331" s="9"/>
      <c r="G331" s="10"/>
      <c r="H331" s="10"/>
      <c r="I331" s="10"/>
      <c r="J331" s="10"/>
    </row>
    <row r="332" spans="2:10" x14ac:dyDescent="0.25">
      <c r="B332" s="50"/>
      <c r="C332" s="9"/>
      <c r="D332" s="9"/>
      <c r="E332" s="9"/>
      <c r="F332" s="9"/>
      <c r="G332" s="10"/>
      <c r="H332" s="10"/>
      <c r="I332" s="10"/>
      <c r="J332" s="10"/>
    </row>
    <row r="333" spans="2:10" x14ac:dyDescent="0.25">
      <c r="B333" s="50"/>
      <c r="C333" s="9"/>
      <c r="D333" s="9"/>
      <c r="E333" s="9"/>
      <c r="F333" s="9"/>
      <c r="G333" s="10"/>
      <c r="H333" s="10"/>
      <c r="I333" s="10"/>
      <c r="J333" s="10"/>
    </row>
    <row r="334" spans="2:10" x14ac:dyDescent="0.25">
      <c r="B334" s="50"/>
      <c r="C334" s="9"/>
      <c r="D334" s="9"/>
      <c r="E334" s="9"/>
      <c r="F334" s="9"/>
      <c r="G334" s="10"/>
      <c r="H334" s="10"/>
      <c r="I334" s="10"/>
      <c r="J334" s="10"/>
    </row>
    <row r="335" spans="2:10" x14ac:dyDescent="0.25">
      <c r="B335" s="50"/>
      <c r="C335" s="9"/>
      <c r="D335" s="9"/>
      <c r="E335" s="9"/>
      <c r="F335" s="9"/>
      <c r="G335" s="10"/>
      <c r="H335" s="10"/>
      <c r="I335" s="10"/>
      <c r="J335" s="10"/>
    </row>
    <row r="336" spans="2:10" x14ac:dyDescent="0.25">
      <c r="B336" s="50"/>
      <c r="C336" s="9"/>
      <c r="D336" s="9"/>
      <c r="E336" s="9"/>
      <c r="F336" s="9"/>
      <c r="G336" s="10"/>
      <c r="H336" s="10"/>
      <c r="I336" s="10"/>
      <c r="J336" s="10"/>
    </row>
    <row r="337" spans="2:10" x14ac:dyDescent="0.25">
      <c r="B337" s="50"/>
      <c r="C337" s="9"/>
      <c r="D337" s="9"/>
      <c r="E337" s="9"/>
      <c r="F337" s="9"/>
      <c r="G337" s="10"/>
      <c r="H337" s="10"/>
      <c r="I337" s="10"/>
      <c r="J337" s="10"/>
    </row>
    <row r="338" spans="2:10" x14ac:dyDescent="0.25">
      <c r="B338" s="50"/>
      <c r="C338" s="9"/>
      <c r="D338" s="9"/>
      <c r="E338" s="9"/>
      <c r="F338" s="9"/>
      <c r="G338" s="10"/>
      <c r="H338" s="10"/>
      <c r="I338" s="10"/>
      <c r="J338" s="10"/>
    </row>
    <row r="339" spans="2:10" x14ac:dyDescent="0.25">
      <c r="B339" s="50"/>
      <c r="C339" s="9"/>
      <c r="D339" s="9"/>
      <c r="E339" s="9"/>
      <c r="F339" s="9"/>
      <c r="G339" s="10"/>
      <c r="H339" s="10"/>
      <c r="I339" s="10"/>
      <c r="J339" s="10"/>
    </row>
    <row r="340" spans="2:10" x14ac:dyDescent="0.25">
      <c r="B340" s="50"/>
      <c r="C340" s="9"/>
      <c r="D340" s="9"/>
      <c r="E340" s="9"/>
      <c r="F340" s="9"/>
      <c r="G340" s="10"/>
      <c r="H340" s="10"/>
      <c r="I340" s="10"/>
      <c r="J340" s="10"/>
    </row>
    <row r="341" spans="2:10" x14ac:dyDescent="0.25">
      <c r="B341" s="50"/>
      <c r="C341" s="9"/>
      <c r="D341" s="9"/>
      <c r="E341" s="9"/>
      <c r="F341" s="9"/>
      <c r="G341" s="10"/>
      <c r="H341" s="10"/>
      <c r="I341" s="10"/>
      <c r="J341" s="10"/>
    </row>
    <row r="342" spans="2:10" x14ac:dyDescent="0.25">
      <c r="B342" s="50"/>
      <c r="C342" s="9"/>
      <c r="D342" s="9"/>
      <c r="E342" s="9"/>
      <c r="F342" s="9"/>
      <c r="G342" s="10"/>
      <c r="H342" s="10"/>
      <c r="I342" s="10"/>
      <c r="J342" s="10"/>
    </row>
    <row r="343" spans="2:10" x14ac:dyDescent="0.25">
      <c r="B343" s="50"/>
      <c r="C343" s="9"/>
      <c r="D343" s="9"/>
      <c r="E343" s="9"/>
      <c r="F343" s="9"/>
      <c r="G343" s="10"/>
      <c r="H343" s="10"/>
      <c r="I343" s="10"/>
      <c r="J343" s="10"/>
    </row>
    <row r="344" spans="2:10" x14ac:dyDescent="0.25">
      <c r="B344" s="50"/>
      <c r="C344" s="9"/>
      <c r="D344" s="9"/>
      <c r="E344" s="9"/>
      <c r="F344" s="9"/>
      <c r="G344" s="10"/>
      <c r="H344" s="10"/>
      <c r="I344" s="10"/>
      <c r="J344" s="10"/>
    </row>
    <row r="345" spans="2:10" x14ac:dyDescent="0.25">
      <c r="B345" s="50"/>
      <c r="C345" s="9"/>
      <c r="D345" s="9"/>
      <c r="E345" s="9"/>
      <c r="F345" s="9"/>
      <c r="G345" s="10"/>
      <c r="H345" s="10"/>
      <c r="I345" s="10"/>
      <c r="J345" s="10"/>
    </row>
    <row r="346" spans="2:10" x14ac:dyDescent="0.25">
      <c r="B346" s="50"/>
      <c r="C346" s="9"/>
      <c r="D346" s="9"/>
      <c r="E346" s="9"/>
      <c r="F346" s="9"/>
      <c r="G346" s="10"/>
      <c r="H346" s="10"/>
      <c r="I346" s="10"/>
      <c r="J346" s="10"/>
    </row>
    <row r="347" spans="2:10" x14ac:dyDescent="0.25">
      <c r="B347" s="50"/>
      <c r="C347" s="9"/>
      <c r="D347" s="9"/>
      <c r="E347" s="9"/>
      <c r="F347" s="9"/>
      <c r="G347" s="10"/>
      <c r="H347" s="10"/>
      <c r="I347" s="10"/>
      <c r="J347" s="10"/>
    </row>
    <row r="348" spans="2:10" x14ac:dyDescent="0.25">
      <c r="B348" s="50"/>
      <c r="C348" s="9"/>
      <c r="D348" s="9"/>
      <c r="E348" s="9"/>
      <c r="F348" s="9"/>
      <c r="G348" s="10"/>
      <c r="H348" s="10"/>
      <c r="I348" s="10"/>
      <c r="J348" s="10"/>
    </row>
    <row r="349" spans="2:10" x14ac:dyDescent="0.25">
      <c r="B349" s="50"/>
      <c r="C349" s="9"/>
      <c r="D349" s="9"/>
      <c r="E349" s="9"/>
      <c r="F349" s="9"/>
      <c r="G349" s="10"/>
      <c r="H349" s="10"/>
      <c r="I349" s="10"/>
      <c r="J349" s="10"/>
    </row>
    <row r="350" spans="2:10" x14ac:dyDescent="0.25">
      <c r="B350" s="50"/>
      <c r="C350" s="9"/>
      <c r="D350" s="9"/>
      <c r="E350" s="9"/>
      <c r="F350" s="9"/>
      <c r="G350" s="10"/>
      <c r="H350" s="10"/>
      <c r="I350" s="10"/>
      <c r="J350" s="10"/>
    </row>
    <row r="351" spans="2:10" x14ac:dyDescent="0.25">
      <c r="B351" s="50"/>
      <c r="C351" s="9"/>
      <c r="D351" s="9"/>
      <c r="E351" s="9"/>
      <c r="F351" s="9"/>
      <c r="G351" s="10"/>
      <c r="H351" s="10"/>
      <c r="I351" s="10"/>
      <c r="J351" s="10"/>
    </row>
    <row r="352" spans="2:10" x14ac:dyDescent="0.25">
      <c r="B352" s="50"/>
      <c r="C352" s="9"/>
      <c r="D352" s="9"/>
      <c r="E352" s="9"/>
      <c r="F352" s="9"/>
      <c r="G352" s="10"/>
      <c r="H352" s="10"/>
      <c r="I352" s="10"/>
      <c r="J352" s="10"/>
    </row>
    <row r="353" spans="2:10" x14ac:dyDescent="0.25">
      <c r="B353" s="50"/>
      <c r="C353" s="9"/>
      <c r="D353" s="9"/>
      <c r="E353" s="9"/>
      <c r="F353" s="9"/>
      <c r="G353" s="10"/>
      <c r="H353" s="10"/>
      <c r="I353" s="10"/>
      <c r="J353" s="10"/>
    </row>
    <row r="354" spans="2:10" x14ac:dyDescent="0.25">
      <c r="B354" s="50"/>
      <c r="C354" s="9"/>
      <c r="D354" s="9"/>
      <c r="E354" s="9"/>
      <c r="F354" s="9"/>
      <c r="G354" s="10"/>
      <c r="H354" s="10"/>
      <c r="I354" s="10"/>
      <c r="J354" s="10"/>
    </row>
    <row r="355" spans="2:10" x14ac:dyDescent="0.25">
      <c r="B355" s="50"/>
      <c r="C355" s="9"/>
      <c r="D355" s="9"/>
      <c r="E355" s="9"/>
      <c r="F355" s="9"/>
      <c r="G355" s="10"/>
      <c r="H355" s="10"/>
      <c r="I355" s="10"/>
      <c r="J355" s="10"/>
    </row>
    <row r="356" spans="2:10" x14ac:dyDescent="0.25">
      <c r="B356" s="50"/>
      <c r="C356" s="9"/>
      <c r="D356" s="9"/>
      <c r="E356" s="9"/>
      <c r="F356" s="9"/>
      <c r="G356" s="10"/>
      <c r="H356" s="10"/>
      <c r="I356" s="10"/>
      <c r="J356" s="10"/>
    </row>
    <row r="357" spans="2:10" x14ac:dyDescent="0.25">
      <c r="B357" s="50"/>
      <c r="C357" s="9"/>
      <c r="D357" s="9"/>
      <c r="E357" s="9"/>
      <c r="F357" s="9"/>
      <c r="G357" s="10"/>
      <c r="H357" s="10"/>
      <c r="I357" s="10"/>
      <c r="J357" s="10"/>
    </row>
    <row r="358" spans="2:10" x14ac:dyDescent="0.25">
      <c r="B358" s="50"/>
      <c r="C358" s="9"/>
      <c r="D358" s="9"/>
      <c r="E358" s="9"/>
      <c r="F358" s="9"/>
      <c r="G358" s="10"/>
      <c r="H358" s="10"/>
      <c r="I358" s="10"/>
      <c r="J358" s="10"/>
    </row>
    <row r="359" spans="2:10" x14ac:dyDescent="0.25">
      <c r="B359" s="50"/>
      <c r="C359" s="9"/>
      <c r="D359" s="9"/>
      <c r="E359" s="9"/>
      <c r="F359" s="9"/>
      <c r="G359" s="10"/>
      <c r="H359" s="10"/>
      <c r="I359" s="10"/>
      <c r="J359" s="10"/>
    </row>
    <row r="360" spans="2:10" x14ac:dyDescent="0.25">
      <c r="B360" s="50"/>
      <c r="C360" s="9"/>
      <c r="D360" s="9"/>
      <c r="E360" s="9"/>
      <c r="F360" s="9"/>
      <c r="G360" s="10"/>
      <c r="H360" s="10"/>
      <c r="I360" s="10"/>
      <c r="J360" s="10"/>
    </row>
    <row r="361" spans="2:10" x14ac:dyDescent="0.25">
      <c r="B361" s="50"/>
      <c r="C361" s="9"/>
      <c r="D361" s="9"/>
      <c r="E361" s="9"/>
      <c r="F361" s="9"/>
      <c r="G361" s="10"/>
      <c r="H361" s="10"/>
      <c r="I361" s="10"/>
      <c r="J361" s="10"/>
    </row>
    <row r="362" spans="2:10" x14ac:dyDescent="0.25">
      <c r="B362" s="50"/>
      <c r="C362" s="9"/>
      <c r="D362" s="9"/>
      <c r="E362" s="9"/>
      <c r="F362" s="9"/>
      <c r="G362" s="10"/>
      <c r="H362" s="10"/>
      <c r="I362" s="10"/>
      <c r="J362" s="10"/>
    </row>
    <row r="363" spans="2:10" x14ac:dyDescent="0.25">
      <c r="B363" s="50"/>
      <c r="C363" s="9"/>
      <c r="D363" s="9"/>
      <c r="E363" s="9"/>
      <c r="F363" s="9"/>
      <c r="G363" s="10"/>
      <c r="H363" s="10"/>
      <c r="I363" s="10"/>
      <c r="J363" s="10"/>
    </row>
    <row r="364" spans="2:10" x14ac:dyDescent="0.25">
      <c r="B364" s="50"/>
      <c r="C364" s="9"/>
      <c r="D364" s="9"/>
      <c r="E364" s="9"/>
      <c r="F364" s="9"/>
      <c r="G364" s="10"/>
      <c r="H364" s="10"/>
      <c r="I364" s="10"/>
      <c r="J364" s="10"/>
    </row>
    <row r="365" spans="2:10" x14ac:dyDescent="0.25">
      <c r="B365" s="50"/>
      <c r="C365" s="9"/>
      <c r="D365" s="9"/>
      <c r="E365" s="9"/>
      <c r="F365" s="9"/>
      <c r="G365" s="10"/>
      <c r="H365" s="10"/>
      <c r="I365" s="10"/>
      <c r="J365" s="10"/>
    </row>
    <row r="366" spans="2:10" x14ac:dyDescent="0.25">
      <c r="B366" s="50"/>
      <c r="C366" s="9"/>
      <c r="D366" s="9"/>
      <c r="E366" s="9"/>
      <c r="F366" s="9"/>
      <c r="G366" s="10"/>
      <c r="H366" s="10"/>
      <c r="I366" s="10"/>
      <c r="J366" s="10"/>
    </row>
    <row r="367" spans="2:10" x14ac:dyDescent="0.25">
      <c r="B367" s="50"/>
      <c r="C367" s="9"/>
      <c r="D367" s="9"/>
      <c r="E367" s="9"/>
      <c r="F367" s="9"/>
      <c r="G367" s="10"/>
      <c r="H367" s="10"/>
      <c r="I367" s="10"/>
      <c r="J367" s="10"/>
    </row>
    <row r="368" spans="2:10" x14ac:dyDescent="0.25">
      <c r="B368" s="50"/>
      <c r="C368" s="9"/>
      <c r="D368" s="9"/>
      <c r="E368" s="9"/>
      <c r="F368" s="9"/>
      <c r="G368" s="10"/>
      <c r="H368" s="10"/>
      <c r="I368" s="10"/>
      <c r="J368" s="10"/>
    </row>
    <row r="369" spans="2:10" x14ac:dyDescent="0.25">
      <c r="B369" s="50"/>
      <c r="C369" s="9"/>
      <c r="D369" s="9"/>
      <c r="E369" s="9"/>
      <c r="F369" s="9"/>
      <c r="G369" s="10"/>
      <c r="H369" s="10"/>
      <c r="I369" s="10"/>
      <c r="J369" s="10"/>
    </row>
    <row r="370" spans="2:10" x14ac:dyDescent="0.25">
      <c r="B370" s="50"/>
      <c r="C370" s="9"/>
      <c r="D370" s="9"/>
      <c r="E370" s="9"/>
      <c r="F370" s="9"/>
      <c r="G370" s="10"/>
      <c r="H370" s="10"/>
      <c r="I370" s="10"/>
      <c r="J370" s="10"/>
    </row>
    <row r="371" spans="2:10" x14ac:dyDescent="0.25">
      <c r="B371" s="50"/>
      <c r="C371" s="9"/>
      <c r="D371" s="9"/>
      <c r="E371" s="9"/>
      <c r="F371" s="9"/>
      <c r="G371" s="10"/>
      <c r="H371" s="10"/>
      <c r="I371" s="10"/>
      <c r="J371" s="10"/>
    </row>
    <row r="372" spans="2:10" x14ac:dyDescent="0.25">
      <c r="B372" s="50"/>
      <c r="C372" s="9"/>
      <c r="D372" s="9"/>
      <c r="E372" s="9"/>
      <c r="F372" s="9"/>
      <c r="G372" s="10"/>
      <c r="H372" s="10"/>
      <c r="I372" s="10"/>
      <c r="J372" s="10"/>
    </row>
    <row r="373" spans="2:10" x14ac:dyDescent="0.25">
      <c r="B373" s="50"/>
      <c r="C373" s="9"/>
      <c r="D373" s="9"/>
      <c r="E373" s="9"/>
      <c r="F373" s="9"/>
      <c r="G373" s="10"/>
      <c r="H373" s="10"/>
      <c r="I373" s="10"/>
      <c r="J373" s="10"/>
    </row>
    <row r="374" spans="2:10" x14ac:dyDescent="0.25">
      <c r="B374" s="50"/>
      <c r="C374" s="9"/>
      <c r="D374" s="9"/>
      <c r="E374" s="9"/>
      <c r="F374" s="9"/>
      <c r="G374" s="10"/>
      <c r="H374" s="10"/>
      <c r="I374" s="10"/>
      <c r="J374" s="10"/>
    </row>
    <row r="375" spans="2:10" x14ac:dyDescent="0.25">
      <c r="B375" s="50"/>
      <c r="C375" s="9"/>
      <c r="D375" s="9"/>
      <c r="E375" s="9"/>
      <c r="F375" s="9"/>
      <c r="G375" s="10"/>
      <c r="H375" s="10"/>
      <c r="I375" s="10"/>
      <c r="J375" s="10"/>
    </row>
    <row r="376" spans="2:10" x14ac:dyDescent="0.25">
      <c r="B376" s="50"/>
      <c r="C376" s="9"/>
      <c r="D376" s="9"/>
      <c r="E376" s="9"/>
      <c r="F376" s="9"/>
      <c r="G376" s="10"/>
      <c r="H376" s="10"/>
      <c r="I376" s="10"/>
      <c r="J376" s="10"/>
    </row>
    <row r="377" spans="2:10" x14ac:dyDescent="0.25">
      <c r="B377" s="50"/>
      <c r="C377" s="9"/>
      <c r="D377" s="9"/>
      <c r="E377" s="9"/>
      <c r="F377" s="9"/>
      <c r="G377" s="10"/>
      <c r="H377" s="10"/>
      <c r="I377" s="10"/>
      <c r="J377" s="10"/>
    </row>
    <row r="378" spans="2:10" x14ac:dyDescent="0.25">
      <c r="B378" s="50"/>
      <c r="C378" s="9"/>
      <c r="D378" s="9"/>
      <c r="E378" s="9"/>
      <c r="F378" s="9"/>
      <c r="G378" s="10"/>
      <c r="H378" s="10"/>
      <c r="I378" s="10"/>
      <c r="J378" s="10"/>
    </row>
    <row r="379" spans="2:10" x14ac:dyDescent="0.25">
      <c r="B379" s="50"/>
      <c r="C379" s="9"/>
      <c r="D379" s="9"/>
      <c r="E379" s="9"/>
      <c r="F379" s="9"/>
      <c r="G379" s="10"/>
      <c r="H379" s="10"/>
      <c r="I379" s="10"/>
      <c r="J379" s="10"/>
    </row>
    <row r="380" spans="2:10" x14ac:dyDescent="0.25">
      <c r="B380" s="50"/>
      <c r="C380" s="9"/>
      <c r="D380" s="9"/>
      <c r="E380" s="9"/>
      <c r="F380" s="9"/>
      <c r="G380" s="10"/>
      <c r="H380" s="10"/>
      <c r="I380" s="10"/>
      <c r="J380" s="10"/>
    </row>
    <row r="381" spans="2:10" x14ac:dyDescent="0.25">
      <c r="B381" s="50"/>
      <c r="C381" s="9"/>
      <c r="D381" s="9"/>
      <c r="E381" s="9"/>
      <c r="F381" s="9"/>
      <c r="G381" s="10"/>
      <c r="H381" s="10"/>
      <c r="I381" s="10"/>
      <c r="J381" s="10"/>
    </row>
    <row r="382" spans="2:10" x14ac:dyDescent="0.25">
      <c r="B382" s="50"/>
      <c r="C382" s="9"/>
      <c r="D382" s="9"/>
      <c r="E382" s="9"/>
      <c r="F382" s="9"/>
      <c r="G382" s="10"/>
      <c r="H382" s="10"/>
      <c r="I382" s="10"/>
      <c r="J382" s="10"/>
    </row>
    <row r="383" spans="2:10" x14ac:dyDescent="0.25">
      <c r="B383" s="50"/>
      <c r="C383" s="9"/>
      <c r="D383" s="9"/>
      <c r="E383" s="9"/>
      <c r="F383" s="9"/>
      <c r="G383" s="10"/>
      <c r="H383" s="10"/>
      <c r="I383" s="10"/>
      <c r="J383" s="10"/>
    </row>
    <row r="384" spans="2:10" x14ac:dyDescent="0.25">
      <c r="B384" s="50"/>
      <c r="C384" s="9"/>
      <c r="D384" s="9"/>
      <c r="E384" s="9"/>
      <c r="F384" s="9"/>
      <c r="G384" s="10"/>
      <c r="H384" s="10"/>
      <c r="I384" s="10"/>
      <c r="J384" s="10"/>
    </row>
    <row r="385" spans="2:10" x14ac:dyDescent="0.25">
      <c r="B385" s="50"/>
      <c r="C385" s="9"/>
      <c r="D385" s="9"/>
      <c r="E385" s="9"/>
      <c r="F385" s="9"/>
      <c r="G385" s="10"/>
      <c r="H385" s="10"/>
      <c r="I385" s="10"/>
      <c r="J385" s="10"/>
    </row>
    <row r="386" spans="2:10" x14ac:dyDescent="0.25">
      <c r="B386" s="50"/>
      <c r="C386" s="9"/>
      <c r="D386" s="9"/>
      <c r="E386" s="9"/>
      <c r="F386" s="9"/>
      <c r="G386" s="10"/>
      <c r="H386" s="10"/>
      <c r="I386" s="10"/>
      <c r="J386" s="10"/>
    </row>
    <row r="387" spans="2:10" x14ac:dyDescent="0.25">
      <c r="B387" s="50"/>
      <c r="C387" s="9"/>
      <c r="D387" s="9"/>
      <c r="E387" s="9"/>
      <c r="F387" s="9"/>
      <c r="G387" s="10"/>
      <c r="H387" s="10"/>
      <c r="I387" s="10"/>
      <c r="J387" s="10"/>
    </row>
    <row r="388" spans="2:10" x14ac:dyDescent="0.25">
      <c r="B388" s="50"/>
      <c r="C388" s="9"/>
      <c r="D388" s="9"/>
      <c r="E388" s="9"/>
      <c r="F388" s="9"/>
      <c r="G388" s="10"/>
      <c r="H388" s="10"/>
      <c r="I388" s="10"/>
      <c r="J388" s="10"/>
    </row>
    <row r="389" spans="2:10" x14ac:dyDescent="0.25">
      <c r="B389" s="50"/>
      <c r="C389" s="9"/>
      <c r="D389" s="9"/>
      <c r="E389" s="9"/>
      <c r="F389" s="9"/>
      <c r="G389" s="10"/>
      <c r="H389" s="10"/>
      <c r="I389" s="10"/>
      <c r="J389" s="10"/>
    </row>
    <row r="390" spans="2:10" x14ac:dyDescent="0.25">
      <c r="B390" s="50"/>
      <c r="C390" s="9"/>
      <c r="D390" s="9"/>
      <c r="E390" s="9"/>
      <c r="F390" s="9"/>
      <c r="G390" s="10"/>
      <c r="H390" s="10"/>
      <c r="I390" s="10"/>
      <c r="J390" s="10"/>
    </row>
    <row r="391" spans="2:10" x14ac:dyDescent="0.25">
      <c r="B391" s="50"/>
      <c r="C391" s="9"/>
      <c r="D391" s="9"/>
      <c r="E391" s="9"/>
      <c r="F391" s="9"/>
      <c r="G391" s="10"/>
      <c r="H391" s="10"/>
      <c r="I391" s="10"/>
      <c r="J391" s="10"/>
    </row>
    <row r="392" spans="2:10" x14ac:dyDescent="0.25">
      <c r="B392" s="50"/>
      <c r="C392" s="9"/>
      <c r="D392" s="9"/>
      <c r="E392" s="9"/>
      <c r="F392" s="9"/>
      <c r="G392" s="10"/>
      <c r="H392" s="10"/>
      <c r="I392" s="10"/>
      <c r="J392" s="10"/>
    </row>
    <row r="393" spans="2:10" x14ac:dyDescent="0.25">
      <c r="B393" s="50"/>
      <c r="C393" s="9"/>
      <c r="D393" s="9"/>
      <c r="E393" s="9"/>
      <c r="F393" s="9"/>
      <c r="G393" s="10"/>
      <c r="H393" s="10"/>
      <c r="I393" s="10"/>
      <c r="J393" s="10"/>
    </row>
    <row r="394" spans="2:10" x14ac:dyDescent="0.25">
      <c r="B394" s="50"/>
      <c r="C394" s="9"/>
      <c r="D394" s="9"/>
      <c r="E394" s="9"/>
      <c r="F394" s="9"/>
      <c r="G394" s="10"/>
      <c r="H394" s="10"/>
      <c r="I394" s="10"/>
      <c r="J394" s="10"/>
    </row>
    <row r="395" spans="2:10" x14ac:dyDescent="0.25">
      <c r="B395" s="50"/>
      <c r="C395" s="9"/>
      <c r="D395" s="9"/>
      <c r="E395" s="9"/>
      <c r="F395" s="9"/>
      <c r="G395" s="10"/>
      <c r="H395" s="10"/>
      <c r="I395" s="10"/>
      <c r="J395" s="10"/>
    </row>
    <row r="396" spans="2:10" x14ac:dyDescent="0.25">
      <c r="B396" s="50"/>
      <c r="C396" s="9"/>
      <c r="D396" s="9"/>
      <c r="E396" s="9"/>
      <c r="F396" s="9"/>
      <c r="G396" s="10"/>
      <c r="H396" s="10"/>
      <c r="I396" s="10"/>
      <c r="J396" s="10"/>
    </row>
    <row r="397" spans="2:10" x14ac:dyDescent="0.25">
      <c r="B397" s="50"/>
      <c r="C397" s="9"/>
      <c r="D397" s="9"/>
      <c r="E397" s="9"/>
      <c r="F397" s="9"/>
      <c r="G397" s="10"/>
      <c r="H397" s="10"/>
      <c r="I397" s="10"/>
      <c r="J397" s="10"/>
    </row>
    <row r="398" spans="2:10" x14ac:dyDescent="0.25">
      <c r="B398" s="50"/>
      <c r="C398" s="9"/>
      <c r="D398" s="9"/>
      <c r="E398" s="9"/>
      <c r="F398" s="9"/>
      <c r="G398" s="10"/>
      <c r="H398" s="10"/>
      <c r="I398" s="10"/>
      <c r="J398" s="10"/>
    </row>
    <row r="399" spans="2:10" x14ac:dyDescent="0.25">
      <c r="B399" s="50"/>
      <c r="C399" s="9"/>
      <c r="D399" s="9"/>
      <c r="E399" s="9"/>
      <c r="F399" s="9"/>
      <c r="G399" s="10"/>
      <c r="H399" s="10"/>
      <c r="I399" s="10"/>
      <c r="J399" s="10"/>
    </row>
    <row r="400" spans="2:10" x14ac:dyDescent="0.25">
      <c r="B400" s="50"/>
      <c r="C400" s="9"/>
      <c r="D400" s="9"/>
      <c r="E400" s="9"/>
      <c r="F400" s="9"/>
      <c r="G400" s="10"/>
      <c r="H400" s="10"/>
      <c r="I400" s="10"/>
      <c r="J400" s="10"/>
    </row>
    <row r="401" spans="2:10" x14ac:dyDescent="0.25">
      <c r="B401" s="50"/>
      <c r="C401" s="9"/>
      <c r="D401" s="9"/>
      <c r="E401" s="9"/>
      <c r="F401" s="9"/>
      <c r="G401" s="10"/>
      <c r="H401" s="10"/>
      <c r="I401" s="10"/>
      <c r="J401" s="10"/>
    </row>
    <row r="402" spans="2:10" x14ac:dyDescent="0.25">
      <c r="B402" s="50"/>
      <c r="C402" s="9"/>
      <c r="D402" s="9"/>
      <c r="E402" s="9"/>
      <c r="F402" s="9"/>
      <c r="G402" s="10"/>
      <c r="H402" s="10"/>
      <c r="I402" s="10"/>
      <c r="J402" s="10"/>
    </row>
    <row r="403" spans="2:10" x14ac:dyDescent="0.25">
      <c r="B403" s="50"/>
      <c r="C403" s="9"/>
      <c r="D403" s="9"/>
      <c r="E403" s="9"/>
      <c r="F403" s="9"/>
      <c r="G403" s="10"/>
      <c r="H403" s="10"/>
      <c r="I403" s="10"/>
      <c r="J403" s="10"/>
    </row>
    <row r="404" spans="2:10" x14ac:dyDescent="0.25">
      <c r="B404" s="50"/>
      <c r="C404" s="9"/>
      <c r="D404" s="9"/>
      <c r="E404" s="9"/>
      <c r="F404" s="9"/>
      <c r="G404" s="10"/>
      <c r="H404" s="10"/>
      <c r="I404" s="10"/>
      <c r="J404" s="10"/>
    </row>
    <row r="405" spans="2:10" x14ac:dyDescent="0.25">
      <c r="B405" s="50"/>
      <c r="C405" s="9"/>
      <c r="D405" s="9"/>
      <c r="E405" s="9"/>
      <c r="F405" s="9"/>
      <c r="G405" s="10"/>
      <c r="H405" s="10"/>
      <c r="I405" s="10"/>
      <c r="J405" s="10"/>
    </row>
    <row r="406" spans="2:10" x14ac:dyDescent="0.25">
      <c r="B406" s="50"/>
      <c r="C406" s="9"/>
      <c r="D406" s="9"/>
      <c r="E406" s="9"/>
      <c r="F406" s="9"/>
      <c r="G406" s="10"/>
      <c r="H406" s="10"/>
      <c r="I406" s="10"/>
      <c r="J406" s="10"/>
    </row>
    <row r="407" spans="2:10" x14ac:dyDescent="0.25">
      <c r="B407" s="50"/>
      <c r="C407" s="9"/>
      <c r="D407" s="9"/>
      <c r="E407" s="9"/>
      <c r="F407" s="9"/>
      <c r="G407" s="10"/>
      <c r="H407" s="10"/>
      <c r="I407" s="10"/>
      <c r="J407" s="10"/>
    </row>
    <row r="408" spans="2:10" x14ac:dyDescent="0.25">
      <c r="B408" s="50"/>
      <c r="C408" s="9"/>
      <c r="D408" s="9"/>
      <c r="E408" s="9"/>
      <c r="F408" s="9"/>
      <c r="G408" s="10"/>
      <c r="H408" s="10"/>
      <c r="I408" s="10"/>
      <c r="J408" s="10"/>
    </row>
    <row r="409" spans="2:10" x14ac:dyDescent="0.25">
      <c r="B409" s="50"/>
      <c r="C409" s="9"/>
      <c r="D409" s="9"/>
      <c r="E409" s="9"/>
      <c r="F409" s="9"/>
      <c r="G409" s="10"/>
      <c r="H409" s="10"/>
      <c r="I409" s="10"/>
      <c r="J409" s="10"/>
    </row>
    <row r="410" spans="2:10" x14ac:dyDescent="0.25">
      <c r="B410" s="50"/>
      <c r="C410" s="9"/>
      <c r="D410" s="9"/>
      <c r="E410" s="9"/>
      <c r="F410" s="9"/>
      <c r="G410" s="10"/>
      <c r="H410" s="10"/>
      <c r="I410" s="10"/>
      <c r="J410" s="10"/>
    </row>
    <row r="411" spans="2:10" x14ac:dyDescent="0.25">
      <c r="B411" s="50"/>
      <c r="C411" s="9"/>
      <c r="D411" s="9"/>
      <c r="E411" s="9"/>
      <c r="F411" s="9"/>
      <c r="G411" s="10"/>
      <c r="H411" s="10"/>
      <c r="I411" s="10"/>
      <c r="J411" s="10"/>
    </row>
    <row r="412" spans="2:10" x14ac:dyDescent="0.25">
      <c r="B412" s="50"/>
      <c r="C412" s="9"/>
      <c r="D412" s="9"/>
      <c r="E412" s="9"/>
      <c r="F412" s="9"/>
      <c r="G412" s="10"/>
      <c r="H412" s="10"/>
      <c r="I412" s="10"/>
      <c r="J412" s="10"/>
    </row>
    <row r="413" spans="2:10" x14ac:dyDescent="0.25">
      <c r="B413" s="50"/>
      <c r="C413" s="9"/>
      <c r="D413" s="9"/>
      <c r="E413" s="9"/>
      <c r="F413" s="9"/>
      <c r="G413" s="10"/>
      <c r="H413" s="10"/>
      <c r="I413" s="10"/>
      <c r="J413" s="10"/>
    </row>
    <row r="414" spans="2:10" x14ac:dyDescent="0.25">
      <c r="B414" s="50"/>
      <c r="C414" s="9"/>
      <c r="D414" s="9"/>
      <c r="E414" s="9"/>
      <c r="F414" s="9"/>
      <c r="G414" s="10"/>
      <c r="H414" s="10"/>
      <c r="I414" s="10"/>
      <c r="J414" s="10"/>
    </row>
    <row r="415" spans="2:10" x14ac:dyDescent="0.25">
      <c r="B415" s="50"/>
      <c r="C415" s="9"/>
      <c r="D415" s="9"/>
      <c r="E415" s="9"/>
      <c r="F415" s="9"/>
      <c r="G415" s="10"/>
      <c r="H415" s="10"/>
      <c r="I415" s="10"/>
      <c r="J415" s="10"/>
    </row>
    <row r="416" spans="2:10" x14ac:dyDescent="0.25">
      <c r="B416" s="50"/>
      <c r="C416" s="9"/>
      <c r="D416" s="9"/>
      <c r="E416" s="9"/>
      <c r="F416" s="9"/>
      <c r="G416" s="10"/>
      <c r="H416" s="10"/>
      <c r="I416" s="10"/>
      <c r="J416" s="10"/>
    </row>
    <row r="417" spans="2:10" x14ac:dyDescent="0.25">
      <c r="B417" s="50"/>
      <c r="C417" s="9"/>
      <c r="D417" s="9"/>
      <c r="E417" s="9"/>
      <c r="F417" s="9"/>
      <c r="G417" s="10"/>
      <c r="H417" s="10"/>
      <c r="I417" s="10"/>
      <c r="J417" s="10"/>
    </row>
    <row r="418" spans="2:10" x14ac:dyDescent="0.25">
      <c r="B418" s="50"/>
      <c r="C418" s="9"/>
      <c r="D418" s="9"/>
      <c r="E418" s="9"/>
      <c r="F418" s="9"/>
      <c r="G418" s="10"/>
      <c r="H418" s="10"/>
      <c r="I418" s="10"/>
      <c r="J418" s="10"/>
    </row>
    <row r="419" spans="2:10" x14ac:dyDescent="0.25">
      <c r="B419" s="50"/>
      <c r="C419" s="9"/>
      <c r="D419" s="9"/>
      <c r="E419" s="9"/>
      <c r="F419" s="9"/>
      <c r="G419" s="10"/>
      <c r="H419" s="10"/>
      <c r="I419" s="10"/>
      <c r="J419" s="10"/>
    </row>
    <row r="420" spans="2:10" x14ac:dyDescent="0.25">
      <c r="B420" s="50"/>
      <c r="C420" s="9"/>
      <c r="D420" s="9"/>
      <c r="E420" s="9"/>
      <c r="F420" s="9"/>
      <c r="G420" s="10"/>
      <c r="H420" s="10"/>
      <c r="I420" s="10"/>
      <c r="J420" s="10"/>
    </row>
    <row r="421" spans="2:10" x14ac:dyDescent="0.25">
      <c r="B421" s="50"/>
      <c r="C421" s="9"/>
      <c r="D421" s="9"/>
      <c r="E421" s="9"/>
      <c r="F421" s="9"/>
      <c r="G421" s="10"/>
      <c r="H421" s="10"/>
      <c r="I421" s="10"/>
      <c r="J421" s="10"/>
    </row>
    <row r="422" spans="2:10" x14ac:dyDescent="0.25">
      <c r="B422" s="50"/>
      <c r="C422" s="9"/>
      <c r="D422" s="9"/>
      <c r="E422" s="9"/>
      <c r="F422" s="9"/>
      <c r="G422" s="10"/>
      <c r="H422" s="10"/>
      <c r="I422" s="10"/>
      <c r="J422" s="10"/>
    </row>
    <row r="423" spans="2:10" x14ac:dyDescent="0.25">
      <c r="B423" s="50"/>
      <c r="C423" s="9"/>
      <c r="D423" s="9"/>
      <c r="E423" s="9"/>
      <c r="F423" s="9"/>
      <c r="G423" s="10"/>
      <c r="H423" s="10"/>
      <c r="I423" s="10"/>
      <c r="J423" s="10"/>
    </row>
    <row r="424" spans="2:10" x14ac:dyDescent="0.25">
      <c r="B424" s="50"/>
      <c r="C424" s="9"/>
      <c r="D424" s="9"/>
      <c r="E424" s="9"/>
      <c r="F424" s="9"/>
      <c r="G424" s="10"/>
      <c r="H424" s="10"/>
      <c r="I424" s="10"/>
      <c r="J424" s="10"/>
    </row>
    <row r="425" spans="2:10" x14ac:dyDescent="0.25">
      <c r="B425" s="50"/>
      <c r="C425" s="9"/>
      <c r="D425" s="9"/>
      <c r="E425" s="9"/>
      <c r="F425" s="9"/>
      <c r="G425" s="10"/>
      <c r="H425" s="10"/>
      <c r="I425" s="10"/>
      <c r="J425" s="10"/>
    </row>
    <row r="426" spans="2:10" x14ac:dyDescent="0.25">
      <c r="B426" s="50"/>
      <c r="C426" s="9"/>
      <c r="D426" s="9"/>
      <c r="E426" s="9"/>
      <c r="F426" s="9"/>
      <c r="G426" s="10"/>
      <c r="H426" s="10"/>
      <c r="I426" s="10"/>
      <c r="J426" s="10"/>
    </row>
    <row r="427" spans="2:10" x14ac:dyDescent="0.25">
      <c r="B427" s="50"/>
      <c r="C427" s="9"/>
      <c r="D427" s="9"/>
      <c r="E427" s="9"/>
      <c r="F427" s="9"/>
      <c r="G427" s="10"/>
      <c r="H427" s="10"/>
      <c r="I427" s="10"/>
      <c r="J427" s="10"/>
    </row>
    <row r="428" spans="2:10" x14ac:dyDescent="0.25">
      <c r="B428" s="50"/>
      <c r="C428" s="9"/>
      <c r="D428" s="9"/>
      <c r="E428" s="9"/>
      <c r="F428" s="9"/>
      <c r="G428" s="10"/>
      <c r="H428" s="10"/>
      <c r="I428" s="10"/>
      <c r="J428" s="10"/>
    </row>
    <row r="429" spans="2:10" x14ac:dyDescent="0.25">
      <c r="B429" s="50"/>
      <c r="C429" s="9"/>
      <c r="D429" s="9"/>
      <c r="E429" s="9"/>
      <c r="F429" s="9"/>
      <c r="G429" s="10"/>
      <c r="H429" s="10"/>
      <c r="I429" s="10"/>
      <c r="J429" s="10"/>
    </row>
    <row r="430" spans="2:10" x14ac:dyDescent="0.25">
      <c r="B430" s="50"/>
      <c r="C430" s="9"/>
      <c r="D430" s="9"/>
      <c r="E430" s="9"/>
      <c r="F430" s="9"/>
      <c r="G430" s="10"/>
      <c r="H430" s="10"/>
      <c r="I430" s="10"/>
      <c r="J430" s="10"/>
    </row>
    <row r="431" spans="2:10" x14ac:dyDescent="0.25">
      <c r="B431" s="50"/>
      <c r="C431" s="9"/>
      <c r="D431" s="9"/>
      <c r="E431" s="9"/>
      <c r="F431" s="9"/>
      <c r="G431" s="10"/>
      <c r="H431" s="10"/>
      <c r="I431" s="10"/>
      <c r="J431" s="10"/>
    </row>
    <row r="432" spans="2:10" x14ac:dyDescent="0.25">
      <c r="B432" s="50"/>
      <c r="C432" s="9"/>
      <c r="D432" s="9"/>
      <c r="E432" s="9"/>
      <c r="F432" s="9"/>
      <c r="G432" s="10"/>
      <c r="H432" s="10"/>
      <c r="I432" s="10"/>
      <c r="J432" s="10"/>
    </row>
    <row r="433" spans="2:10" x14ac:dyDescent="0.25">
      <c r="B433" s="50"/>
      <c r="C433" s="9"/>
      <c r="D433" s="9"/>
      <c r="E433" s="9"/>
      <c r="F433" s="9"/>
      <c r="G433" s="10"/>
      <c r="H433" s="10"/>
      <c r="I433" s="10"/>
      <c r="J433" s="10"/>
    </row>
    <row r="434" spans="2:10" x14ac:dyDescent="0.25">
      <c r="B434" s="50"/>
      <c r="C434" s="9"/>
      <c r="D434" s="9"/>
      <c r="E434" s="9"/>
      <c r="F434" s="9"/>
      <c r="G434" s="10"/>
      <c r="H434" s="10"/>
      <c r="I434" s="10"/>
      <c r="J434" s="10"/>
    </row>
    <row r="435" spans="2:10" x14ac:dyDescent="0.25">
      <c r="B435" s="50"/>
      <c r="C435" s="9"/>
      <c r="D435" s="9"/>
      <c r="E435" s="9"/>
      <c r="F435" s="9"/>
      <c r="G435" s="10"/>
      <c r="H435" s="10"/>
      <c r="I435" s="10"/>
      <c r="J435" s="10"/>
    </row>
    <row r="436" spans="2:10" x14ac:dyDescent="0.25">
      <c r="B436" s="50"/>
      <c r="C436" s="9"/>
      <c r="D436" s="9"/>
      <c r="E436" s="9"/>
      <c r="F436" s="9"/>
      <c r="G436" s="10"/>
      <c r="H436" s="10"/>
      <c r="I436" s="10"/>
      <c r="J436" s="10"/>
    </row>
    <row r="437" spans="2:10" x14ac:dyDescent="0.25">
      <c r="B437" s="50"/>
      <c r="C437" s="9"/>
      <c r="D437" s="9"/>
      <c r="E437" s="9"/>
      <c r="F437" s="9"/>
      <c r="G437" s="10"/>
      <c r="H437" s="10"/>
      <c r="I437" s="10"/>
      <c r="J437" s="10"/>
    </row>
    <row r="438" spans="2:10" x14ac:dyDescent="0.25">
      <c r="B438" s="50"/>
      <c r="C438" s="9"/>
      <c r="D438" s="9"/>
      <c r="E438" s="9"/>
      <c r="F438" s="9"/>
      <c r="G438" s="10"/>
      <c r="H438" s="10"/>
      <c r="I438" s="10"/>
      <c r="J438" s="10"/>
    </row>
    <row r="439" spans="2:10" x14ac:dyDescent="0.25">
      <c r="B439" s="50"/>
      <c r="C439" s="9"/>
      <c r="D439" s="9"/>
      <c r="E439" s="9"/>
      <c r="F439" s="9"/>
      <c r="G439" s="10"/>
      <c r="H439" s="10"/>
      <c r="I439" s="10"/>
      <c r="J439" s="10"/>
    </row>
    <row r="440" spans="2:10" x14ac:dyDescent="0.25">
      <c r="B440" s="50"/>
      <c r="C440" s="9"/>
      <c r="D440" s="9"/>
      <c r="E440" s="9"/>
      <c r="F440" s="9"/>
      <c r="G440" s="10"/>
      <c r="H440" s="10"/>
      <c r="I440" s="10"/>
      <c r="J440" s="10"/>
    </row>
    <row r="441" spans="2:10" x14ac:dyDescent="0.25">
      <c r="B441" s="50"/>
      <c r="C441" s="9"/>
      <c r="D441" s="9"/>
      <c r="E441" s="9"/>
      <c r="F441" s="9"/>
      <c r="G441" s="10"/>
      <c r="H441" s="10"/>
      <c r="I441" s="10"/>
      <c r="J441" s="10"/>
    </row>
    <row r="442" spans="2:10" x14ac:dyDescent="0.25">
      <c r="B442" s="50"/>
      <c r="C442" s="9"/>
      <c r="D442" s="9"/>
      <c r="E442" s="9"/>
      <c r="F442" s="9"/>
      <c r="G442" s="10"/>
      <c r="H442" s="10"/>
      <c r="I442" s="10"/>
      <c r="J442" s="10"/>
    </row>
    <row r="443" spans="2:10" x14ac:dyDescent="0.25">
      <c r="B443" s="50"/>
      <c r="C443" s="9"/>
      <c r="D443" s="9"/>
      <c r="E443" s="9"/>
      <c r="F443" s="9"/>
      <c r="G443" s="10"/>
      <c r="H443" s="10"/>
      <c r="I443" s="10"/>
      <c r="J443" s="10"/>
    </row>
    <row r="444" spans="2:10" x14ac:dyDescent="0.25">
      <c r="B444" s="50"/>
      <c r="C444" s="9"/>
      <c r="D444" s="9"/>
      <c r="E444" s="9"/>
      <c r="F444" s="9"/>
      <c r="G444" s="10"/>
      <c r="H444" s="10"/>
      <c r="I444" s="10"/>
      <c r="J444" s="10"/>
    </row>
    <row r="445" spans="2:10" x14ac:dyDescent="0.25">
      <c r="B445" s="50"/>
      <c r="C445" s="9"/>
      <c r="D445" s="9"/>
      <c r="E445" s="9"/>
      <c r="F445" s="9"/>
      <c r="G445" s="10"/>
      <c r="H445" s="10"/>
      <c r="I445" s="10"/>
      <c r="J445" s="10"/>
    </row>
    <row r="446" spans="2:10" x14ac:dyDescent="0.25">
      <c r="B446" s="50"/>
      <c r="C446" s="9"/>
      <c r="D446" s="9"/>
      <c r="E446" s="9"/>
      <c r="F446" s="9"/>
      <c r="G446" s="10"/>
      <c r="H446" s="10"/>
      <c r="I446" s="10"/>
      <c r="J446" s="10"/>
    </row>
    <row r="447" spans="2:10" x14ac:dyDescent="0.25">
      <c r="B447" s="50"/>
      <c r="C447" s="9"/>
      <c r="D447" s="9"/>
      <c r="E447" s="9"/>
      <c r="F447" s="9"/>
      <c r="G447" s="10"/>
      <c r="H447" s="10"/>
      <c r="I447" s="10"/>
      <c r="J447" s="10"/>
    </row>
    <row r="448" spans="2:10" x14ac:dyDescent="0.25">
      <c r="B448" s="50"/>
      <c r="C448" s="9"/>
      <c r="D448" s="9"/>
      <c r="E448" s="9"/>
      <c r="F448" s="9"/>
      <c r="G448" s="10"/>
      <c r="H448" s="10"/>
      <c r="I448" s="10"/>
      <c r="J448" s="10"/>
    </row>
    <row r="449" spans="2:10" x14ac:dyDescent="0.25">
      <c r="B449" s="50"/>
      <c r="C449" s="9"/>
      <c r="D449" s="9"/>
      <c r="E449" s="9"/>
      <c r="F449" s="9"/>
      <c r="G449" s="10"/>
      <c r="H449" s="10"/>
      <c r="I449" s="10"/>
      <c r="J449" s="10"/>
    </row>
    <row r="450" spans="2:10" x14ac:dyDescent="0.25">
      <c r="B450" s="50"/>
      <c r="C450" s="9"/>
      <c r="D450" s="9"/>
      <c r="E450" s="9"/>
      <c r="F450" s="9"/>
      <c r="G450" s="10"/>
      <c r="H450" s="10"/>
      <c r="I450" s="10"/>
      <c r="J450" s="10"/>
    </row>
    <row r="451" spans="2:10" x14ac:dyDescent="0.25">
      <c r="B451" s="50"/>
      <c r="C451" s="9"/>
      <c r="D451" s="9"/>
      <c r="E451" s="9"/>
      <c r="F451" s="9"/>
      <c r="G451" s="10"/>
      <c r="H451" s="10"/>
      <c r="I451" s="10"/>
      <c r="J451" s="10"/>
    </row>
    <row r="452" spans="2:10" x14ac:dyDescent="0.25">
      <c r="B452" s="50"/>
      <c r="C452" s="9"/>
      <c r="D452" s="9"/>
      <c r="E452" s="9"/>
      <c r="F452" s="9"/>
      <c r="G452" s="10"/>
      <c r="H452" s="10"/>
      <c r="I452" s="10"/>
      <c r="J452" s="10"/>
    </row>
    <row r="453" spans="2:10" x14ac:dyDescent="0.25">
      <c r="B453" s="50"/>
      <c r="C453" s="9"/>
      <c r="D453" s="9"/>
      <c r="E453" s="9"/>
      <c r="F453" s="9"/>
      <c r="G453" s="10"/>
      <c r="H453" s="10"/>
      <c r="I453" s="10"/>
      <c r="J453" s="10"/>
    </row>
    <row r="454" spans="2:10" x14ac:dyDescent="0.25">
      <c r="B454" s="50"/>
      <c r="C454" s="9"/>
      <c r="D454" s="9"/>
      <c r="E454" s="9"/>
      <c r="F454" s="9"/>
      <c r="G454" s="10"/>
      <c r="H454" s="10"/>
      <c r="I454" s="10"/>
      <c r="J454" s="10"/>
    </row>
    <row r="455" spans="2:10" x14ac:dyDescent="0.25">
      <c r="B455" s="50"/>
      <c r="C455" s="9"/>
      <c r="D455" s="9"/>
      <c r="E455" s="9"/>
      <c r="F455" s="9"/>
      <c r="G455" s="10"/>
      <c r="H455" s="10"/>
      <c r="I455" s="10"/>
      <c r="J455" s="10"/>
    </row>
    <row r="456" spans="2:10" x14ac:dyDescent="0.25">
      <c r="B456" s="50"/>
      <c r="C456" s="9"/>
      <c r="D456" s="9"/>
      <c r="E456" s="9"/>
      <c r="F456" s="9"/>
      <c r="G456" s="10"/>
      <c r="H456" s="10"/>
      <c r="I456" s="10"/>
      <c r="J456" s="10"/>
    </row>
    <row r="457" spans="2:10" x14ac:dyDescent="0.25">
      <c r="B457" s="50"/>
      <c r="C457" s="9"/>
      <c r="D457" s="9"/>
      <c r="E457" s="9"/>
      <c r="F457" s="9"/>
      <c r="G457" s="10"/>
      <c r="H457" s="10"/>
      <c r="I457" s="10"/>
      <c r="J457" s="10"/>
    </row>
  </sheetData>
  <mergeCells count="4">
    <mergeCell ref="E5:J6"/>
    <mergeCell ref="B46:J46"/>
    <mergeCell ref="C48:F48"/>
    <mergeCell ref="G48:J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lotter.service_life_calcs">
                <anchor moveWithCells="1" sizeWithCells="1">
                  <from>
                    <xdr:col>5</xdr:col>
                    <xdr:colOff>152400</xdr:colOff>
                    <xdr:row>27</xdr:row>
                    <xdr:rowOff>38100</xdr:rowOff>
                  </from>
                  <to>
                    <xdr:col>10</xdr:col>
                    <xdr:colOff>152400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82"/>
  <sheetViews>
    <sheetView workbookViewId="0">
      <selection activeCell="B12" sqref="B12:B13"/>
    </sheetView>
  </sheetViews>
  <sheetFormatPr defaultRowHeight="15" x14ac:dyDescent="0.25"/>
  <cols>
    <col min="2" max="2" width="49" customWidth="1"/>
    <col min="3" max="3" width="18.85546875" customWidth="1"/>
    <col min="4" max="4" width="44.85546875" bestFit="1" customWidth="1"/>
    <col min="5" max="5" width="19.28515625" customWidth="1"/>
    <col min="8" max="8" width="19.42578125" customWidth="1"/>
    <col min="9" max="9" width="18.85546875" customWidth="1"/>
    <col min="10" max="10" width="15.28515625" customWidth="1"/>
  </cols>
  <sheetData>
    <row r="1" spans="2:10" ht="15.75" thickBot="1" x14ac:dyDescent="0.3"/>
    <row r="2" spans="2:10" x14ac:dyDescent="0.25">
      <c r="B2" s="43"/>
      <c r="C2" s="44"/>
      <c r="D2" s="44"/>
      <c r="E2" s="44"/>
      <c r="F2" s="45"/>
    </row>
    <row r="3" spans="2:10" ht="18.75" x14ac:dyDescent="0.3">
      <c r="B3" s="46" t="s">
        <v>12</v>
      </c>
      <c r="C3" s="27"/>
      <c r="D3" s="33"/>
      <c r="E3" s="33"/>
      <c r="F3" s="30"/>
    </row>
    <row r="4" spans="2:10" ht="18.75" x14ac:dyDescent="0.3">
      <c r="B4" s="46"/>
      <c r="C4" s="63" t="s">
        <v>38</v>
      </c>
      <c r="D4" s="63"/>
      <c r="E4" s="63"/>
      <c r="F4" s="30"/>
      <c r="J4" s="2" t="s">
        <v>7</v>
      </c>
    </row>
    <row r="5" spans="2:10" x14ac:dyDescent="0.25">
      <c r="B5" s="31"/>
      <c r="C5" s="63"/>
      <c r="D5" s="63"/>
      <c r="E5" s="63"/>
      <c r="F5" s="30"/>
      <c r="I5" s="1" t="s">
        <v>51</v>
      </c>
      <c r="J5" s="7">
        <v>458000</v>
      </c>
    </row>
    <row r="6" spans="2:10" x14ac:dyDescent="0.25">
      <c r="B6" s="31"/>
      <c r="C6" s="63"/>
      <c r="D6" s="63"/>
      <c r="E6" s="63"/>
      <c r="F6" s="30"/>
      <c r="H6" s="1"/>
      <c r="I6" s="1" t="s">
        <v>8</v>
      </c>
      <c r="J6">
        <v>0.5</v>
      </c>
    </row>
    <row r="7" spans="2:10" x14ac:dyDescent="0.25">
      <c r="B7" s="31"/>
      <c r="C7" s="33"/>
      <c r="D7" s="33"/>
      <c r="E7" s="33"/>
      <c r="F7" s="30"/>
      <c r="H7" s="1"/>
      <c r="I7" s="1" t="s">
        <v>52</v>
      </c>
      <c r="J7">
        <v>1.2449999999999999E-2</v>
      </c>
    </row>
    <row r="8" spans="2:10" x14ac:dyDescent="0.25">
      <c r="B8" s="31"/>
      <c r="C8" s="33"/>
      <c r="D8" s="33"/>
      <c r="E8" s="33"/>
      <c r="F8" s="30"/>
      <c r="H8" s="1"/>
      <c r="I8" s="1" t="s">
        <v>53</v>
      </c>
      <c r="J8">
        <v>9.5500000000000002E-2</v>
      </c>
    </row>
    <row r="9" spans="2:10" x14ac:dyDescent="0.25">
      <c r="B9" s="31"/>
      <c r="C9" s="33"/>
      <c r="D9" s="33"/>
      <c r="E9" s="33"/>
      <c r="F9" s="30"/>
      <c r="H9" s="1"/>
      <c r="I9" s="1" t="s">
        <v>31</v>
      </c>
      <c r="J9">
        <v>9.8043999999999993</v>
      </c>
    </row>
    <row r="10" spans="2:10" ht="15.75" thickBot="1" x14ac:dyDescent="0.3">
      <c r="B10" s="40"/>
      <c r="C10" s="41"/>
      <c r="D10" s="41"/>
      <c r="E10" s="41"/>
      <c r="F10" s="42"/>
      <c r="H10" s="1"/>
      <c r="I10" s="1" t="s">
        <v>9</v>
      </c>
      <c r="J10" s="3">
        <v>29999.999284744263</v>
      </c>
    </row>
    <row r="11" spans="2:10" x14ac:dyDescent="0.25">
      <c r="B11" s="43"/>
      <c r="C11" s="44"/>
      <c r="D11" s="44"/>
      <c r="E11" s="44"/>
      <c r="F11" s="45"/>
      <c r="H11" s="1"/>
      <c r="I11" s="1" t="s">
        <v>10</v>
      </c>
      <c r="J11">
        <v>8.3140000000000001</v>
      </c>
    </row>
    <row r="12" spans="2:10" ht="18.75" x14ac:dyDescent="0.3">
      <c r="B12" s="58" t="s">
        <v>74</v>
      </c>
      <c r="C12" s="27"/>
      <c r="D12" s="27"/>
      <c r="E12" s="27"/>
      <c r="F12" s="30"/>
    </row>
    <row r="13" spans="2:10" ht="18.75" x14ac:dyDescent="0.3">
      <c r="B13" s="58" t="s">
        <v>75</v>
      </c>
      <c r="C13" s="27"/>
      <c r="D13" s="27"/>
      <c r="F13" s="30"/>
    </row>
    <row r="14" spans="2:10" x14ac:dyDescent="0.25">
      <c r="B14" s="31"/>
      <c r="C14" s="26"/>
      <c r="D14" s="27"/>
      <c r="F14" s="30"/>
    </row>
    <row r="15" spans="2:10" ht="18.75" x14ac:dyDescent="0.3">
      <c r="B15" s="29" t="s">
        <v>16</v>
      </c>
      <c r="C15" s="27"/>
      <c r="D15" s="27"/>
      <c r="E15" s="57"/>
      <c r="F15" s="30"/>
    </row>
    <row r="16" spans="2:10" x14ac:dyDescent="0.25">
      <c r="B16" s="29"/>
      <c r="C16" s="27"/>
      <c r="D16" s="27"/>
      <c r="E16" s="27"/>
      <c r="F16" s="30"/>
    </row>
    <row r="17" spans="2:6" x14ac:dyDescent="0.25">
      <c r="B17" s="31"/>
      <c r="C17" s="27"/>
      <c r="D17" s="27"/>
      <c r="E17" s="27"/>
      <c r="F17" s="30"/>
    </row>
    <row r="18" spans="2:6" x14ac:dyDescent="0.25">
      <c r="B18" s="31" t="s">
        <v>47</v>
      </c>
      <c r="C18" s="47">
        <v>20</v>
      </c>
      <c r="D18" s="27" t="s">
        <v>39</v>
      </c>
      <c r="E18" s="27"/>
      <c r="F18" s="30"/>
    </row>
    <row r="19" spans="2:6" x14ac:dyDescent="0.25">
      <c r="B19" s="31"/>
      <c r="C19" s="27"/>
      <c r="D19" s="27"/>
      <c r="E19" s="27"/>
      <c r="F19" s="30"/>
    </row>
    <row r="20" spans="2:6" x14ac:dyDescent="0.25">
      <c r="B20" s="31" t="s">
        <v>45</v>
      </c>
      <c r="C20" s="47">
        <v>0.5</v>
      </c>
      <c r="D20" s="27" t="s">
        <v>46</v>
      </c>
      <c r="E20" s="27"/>
      <c r="F20" s="30"/>
    </row>
    <row r="21" spans="2:6" x14ac:dyDescent="0.25">
      <c r="B21" s="31"/>
      <c r="C21" s="27"/>
      <c r="D21" s="27"/>
      <c r="E21" s="27"/>
      <c r="F21" s="30"/>
    </row>
    <row r="22" spans="2:6" ht="15.75" thickBot="1" x14ac:dyDescent="0.3">
      <c r="B22" s="40"/>
      <c r="C22" s="41"/>
      <c r="D22" s="41"/>
      <c r="E22" s="41"/>
      <c r="F22" s="42"/>
    </row>
    <row r="25" spans="2:6" x14ac:dyDescent="0.25">
      <c r="B25" t="str">
        <f>"Temperature = "&amp;C18&amp;" °C"</f>
        <v>Temperature = 20 °C</v>
      </c>
    </row>
    <row r="26" spans="2:6" x14ac:dyDescent="0.25">
      <c r="B26" t="str">
        <f>"Max Corrosion rate = "&amp;C20&amp;" mm/yr"</f>
        <v>Max Corrosion rate = 0.5 mm/yr</v>
      </c>
    </row>
    <row r="28" spans="2:6" ht="18" x14ac:dyDescent="0.35">
      <c r="B28" s="4" t="s">
        <v>44</v>
      </c>
      <c r="C28" s="4" t="s">
        <v>43</v>
      </c>
      <c r="D28" s="4" t="s">
        <v>57</v>
      </c>
      <c r="E28" t="s">
        <v>42</v>
      </c>
    </row>
    <row r="29" spans="2:6" x14ac:dyDescent="0.25">
      <c r="B29" s="4">
        <v>85</v>
      </c>
      <c r="C29" s="4">
        <f t="shared" ref="C29:C32" si="0">$C$18</f>
        <v>20</v>
      </c>
      <c r="D29" s="15">
        <f>($C$20/($J$5*(1-$J$7*B29)/($J$8*B29-$J$9)*EXP(-1*$J$10/($J$11*(C29+273.15)))))^2</f>
        <v>49.115868433199942</v>
      </c>
      <c r="E29" s="15">
        <f>$J$5*D29^$J$6*((1-$J$7*B29)/($J$8*B29-$J$9))*EXP(-$J$10/$J$11/(C29+273.15))</f>
        <v>0.5</v>
      </c>
    </row>
    <row r="30" spans="2:6" x14ac:dyDescent="0.25">
      <c r="B30" s="4">
        <v>85.5</v>
      </c>
      <c r="C30" s="4">
        <f t="shared" si="0"/>
        <v>20</v>
      </c>
      <c r="D30" s="15">
        <f t="shared" ref="D30:D59" si="1">($C$20/($J$5*(1-$J$7*B30)/($J$8*B30-$J$9)*EXP(-1*$J$10/($J$11*(C30+273.15)))))^2</f>
        <v>37.852076117727165</v>
      </c>
      <c r="E30" s="15">
        <f t="shared" ref="E30:E59" si="2">$J$5*D30^$J$6*((1-$J$7*B30)/($J$8*B30-$J$9))*EXP(-$J$10/$J$11/(C30+273.15))</f>
        <v>0.49999999999999994</v>
      </c>
    </row>
    <row r="31" spans="2:6" x14ac:dyDescent="0.25">
      <c r="B31" s="4">
        <v>86</v>
      </c>
      <c r="C31" s="4">
        <f t="shared" si="0"/>
        <v>20</v>
      </c>
      <c r="D31" s="15">
        <f t="shared" si="1"/>
        <v>29.672551353994486</v>
      </c>
      <c r="E31" s="15">
        <f t="shared" si="2"/>
        <v>0.49999999999999994</v>
      </c>
    </row>
    <row r="32" spans="2:6" x14ac:dyDescent="0.25">
      <c r="B32" s="4">
        <v>86.5</v>
      </c>
      <c r="C32" s="4">
        <f t="shared" si="0"/>
        <v>20</v>
      </c>
      <c r="D32" s="15">
        <f t="shared" si="1"/>
        <v>23.582925278866526</v>
      </c>
      <c r="E32" s="15">
        <f t="shared" si="2"/>
        <v>0.50000000000000011</v>
      </c>
    </row>
    <row r="33" spans="2:5" x14ac:dyDescent="0.25">
      <c r="B33" s="4">
        <v>87</v>
      </c>
      <c r="C33" s="4">
        <f>$C$18</f>
        <v>20</v>
      </c>
      <c r="D33" s="15">
        <f t="shared" si="1"/>
        <v>18.954643802372271</v>
      </c>
      <c r="E33" s="15">
        <f t="shared" si="2"/>
        <v>0.5</v>
      </c>
    </row>
    <row r="34" spans="2:5" x14ac:dyDescent="0.25">
      <c r="B34" s="4">
        <v>87.5</v>
      </c>
      <c r="C34" s="4">
        <f t="shared" ref="C34:C59" si="3">$C$18</f>
        <v>20</v>
      </c>
      <c r="D34" s="15">
        <f t="shared" si="1"/>
        <v>15.375526561544435</v>
      </c>
      <c r="E34" s="15">
        <f t="shared" si="2"/>
        <v>0.49999999999999994</v>
      </c>
    </row>
    <row r="35" spans="2:5" x14ac:dyDescent="0.25">
      <c r="B35" s="4">
        <v>88</v>
      </c>
      <c r="C35" s="4">
        <f t="shared" si="3"/>
        <v>20</v>
      </c>
      <c r="D35" s="15">
        <f t="shared" si="1"/>
        <v>12.566763151627724</v>
      </c>
      <c r="E35" s="15">
        <f t="shared" si="2"/>
        <v>0.5</v>
      </c>
    </row>
    <row r="36" spans="2:5" x14ac:dyDescent="0.25">
      <c r="B36" s="4">
        <v>88.5</v>
      </c>
      <c r="C36" s="4">
        <f t="shared" si="3"/>
        <v>20</v>
      </c>
      <c r="D36" s="15">
        <f t="shared" si="1"/>
        <v>10.334680301621846</v>
      </c>
      <c r="E36" s="15">
        <f t="shared" si="2"/>
        <v>0.5</v>
      </c>
    </row>
    <row r="37" spans="2:5" x14ac:dyDescent="0.25">
      <c r="B37" s="4">
        <v>89</v>
      </c>
      <c r="C37" s="4">
        <f t="shared" si="3"/>
        <v>20</v>
      </c>
      <c r="D37" s="15">
        <f t="shared" si="1"/>
        <v>8.5416137751099583</v>
      </c>
      <c r="E37" s="15">
        <f t="shared" si="2"/>
        <v>0.49999999999999994</v>
      </c>
    </row>
    <row r="38" spans="2:5" x14ac:dyDescent="0.25">
      <c r="B38" s="4">
        <v>89.5</v>
      </c>
      <c r="C38" s="4">
        <f t="shared" si="3"/>
        <v>20</v>
      </c>
      <c r="D38" s="15">
        <f t="shared" si="1"/>
        <v>7.0877232207483596</v>
      </c>
      <c r="E38" s="15">
        <f t="shared" si="2"/>
        <v>0.5</v>
      </c>
    </row>
    <row r="39" spans="2:5" x14ac:dyDescent="0.25">
      <c r="B39" s="4">
        <v>90</v>
      </c>
      <c r="C39" s="4">
        <f t="shared" si="3"/>
        <v>20</v>
      </c>
      <c r="D39" s="15">
        <f t="shared" si="1"/>
        <v>5.8993049292808868</v>
      </c>
      <c r="E39" s="15">
        <f t="shared" si="2"/>
        <v>0.50000000000000011</v>
      </c>
    </row>
    <row r="40" spans="2:5" x14ac:dyDescent="0.25">
      <c r="B40" s="4">
        <v>90.5</v>
      </c>
      <c r="C40" s="4">
        <f t="shared" si="3"/>
        <v>20</v>
      </c>
      <c r="D40" s="15">
        <f t="shared" si="1"/>
        <v>4.921086558200404</v>
      </c>
      <c r="E40" s="15">
        <f t="shared" si="2"/>
        <v>0.5</v>
      </c>
    </row>
    <row r="41" spans="2:5" x14ac:dyDescent="0.25">
      <c r="B41" s="4">
        <v>91</v>
      </c>
      <c r="C41" s="4">
        <f t="shared" si="3"/>
        <v>20</v>
      </c>
      <c r="D41" s="15">
        <f t="shared" si="1"/>
        <v>4.1110308407016873</v>
      </c>
      <c r="E41" s="15">
        <f t="shared" si="2"/>
        <v>0.5</v>
      </c>
    </row>
    <row r="42" spans="2:5" x14ac:dyDescent="0.25">
      <c r="B42" s="4">
        <v>91.5</v>
      </c>
      <c r="C42" s="4">
        <f t="shared" si="3"/>
        <v>20</v>
      </c>
      <c r="D42" s="15">
        <f t="shared" si="1"/>
        <v>3.4367597452428034</v>
      </c>
      <c r="E42" s="15">
        <f t="shared" si="2"/>
        <v>0.5</v>
      </c>
    </row>
    <row r="43" spans="2:5" x14ac:dyDescent="0.25">
      <c r="B43" s="4">
        <v>92</v>
      </c>
      <c r="C43" s="4">
        <f t="shared" si="3"/>
        <v>20</v>
      </c>
      <c r="D43" s="15">
        <f t="shared" si="1"/>
        <v>2.8730486398674282</v>
      </c>
      <c r="E43" s="15">
        <f t="shared" si="2"/>
        <v>0.5</v>
      </c>
    </row>
    <row r="44" spans="2:5" x14ac:dyDescent="0.25">
      <c r="B44" s="4">
        <v>92.5</v>
      </c>
      <c r="C44" s="4">
        <f t="shared" si="3"/>
        <v>20</v>
      </c>
      <c r="D44" s="15">
        <f t="shared" si="1"/>
        <v>2.400041217999227</v>
      </c>
      <c r="E44" s="15">
        <f t="shared" si="2"/>
        <v>0.49999999999999994</v>
      </c>
    </row>
    <row r="45" spans="2:5" x14ac:dyDescent="0.25">
      <c r="B45" s="4">
        <v>93</v>
      </c>
      <c r="C45" s="4">
        <f t="shared" si="3"/>
        <v>20</v>
      </c>
      <c r="D45" s="15">
        <f t="shared" si="1"/>
        <v>2.0019587736398066</v>
      </c>
      <c r="E45" s="15">
        <f t="shared" si="2"/>
        <v>0.5</v>
      </c>
    </row>
    <row r="46" spans="2:5" x14ac:dyDescent="0.25">
      <c r="B46" s="4">
        <v>93.5</v>
      </c>
      <c r="C46" s="4">
        <f t="shared" si="3"/>
        <v>20</v>
      </c>
      <c r="D46" s="15">
        <f t="shared" si="1"/>
        <v>1.666154148063012</v>
      </c>
      <c r="E46" s="15">
        <f t="shared" si="2"/>
        <v>0.5</v>
      </c>
    </row>
    <row r="47" spans="2:5" x14ac:dyDescent="0.25">
      <c r="B47" s="4">
        <v>94</v>
      </c>
      <c r="C47" s="4">
        <f t="shared" si="3"/>
        <v>20</v>
      </c>
      <c r="D47" s="15">
        <f t="shared" si="1"/>
        <v>1.3824096204427687</v>
      </c>
      <c r="E47" s="15">
        <f t="shared" si="2"/>
        <v>0.50000000000000011</v>
      </c>
    </row>
    <row r="48" spans="2:5" x14ac:dyDescent="0.25">
      <c r="B48" s="4">
        <v>94.5</v>
      </c>
      <c r="C48" s="4">
        <f t="shared" si="3"/>
        <v>20</v>
      </c>
      <c r="D48" s="15">
        <f t="shared" si="1"/>
        <v>1.1424098432032372</v>
      </c>
      <c r="E48" s="15">
        <f t="shared" si="2"/>
        <v>0.5</v>
      </c>
    </row>
    <row r="49" spans="2:5" x14ac:dyDescent="0.25">
      <c r="B49" s="4">
        <v>95</v>
      </c>
      <c r="C49" s="4">
        <f t="shared" si="3"/>
        <v>20</v>
      </c>
      <c r="D49" s="15">
        <f t="shared" si="1"/>
        <v>0.93934198341638364</v>
      </c>
      <c r="E49" s="15">
        <f t="shared" si="2"/>
        <v>0.49999999999999994</v>
      </c>
    </row>
    <row r="50" spans="2:5" x14ac:dyDescent="0.25">
      <c r="B50" s="4">
        <v>95.5</v>
      </c>
      <c r="C50" s="4">
        <f t="shared" si="3"/>
        <v>20</v>
      </c>
      <c r="D50" s="15">
        <f t="shared" si="1"/>
        <v>0.76758939314787611</v>
      </c>
      <c r="E50" s="15">
        <f t="shared" si="2"/>
        <v>0.50000000000000011</v>
      </c>
    </row>
    <row r="51" spans="2:5" x14ac:dyDescent="0.25">
      <c r="B51" s="4">
        <v>96</v>
      </c>
      <c r="C51" s="4">
        <f t="shared" si="3"/>
        <v>20</v>
      </c>
      <c r="D51" s="15">
        <f t="shared" si="1"/>
        <v>0.62249479665068541</v>
      </c>
      <c r="E51" s="15">
        <f t="shared" si="2"/>
        <v>0.49999999999999994</v>
      </c>
    </row>
    <row r="52" spans="2:5" x14ac:dyDescent="0.25">
      <c r="B52" s="4">
        <v>96.5</v>
      </c>
      <c r="C52" s="4">
        <f t="shared" si="3"/>
        <v>20</v>
      </c>
      <c r="D52" s="15">
        <f t="shared" si="1"/>
        <v>0.50017566977277583</v>
      </c>
      <c r="E52" s="15">
        <f t="shared" si="2"/>
        <v>0.50000000000000011</v>
      </c>
    </row>
    <row r="53" spans="2:5" x14ac:dyDescent="0.25">
      <c r="B53" s="4">
        <v>97</v>
      </c>
      <c r="C53" s="4">
        <f t="shared" si="3"/>
        <v>20</v>
      </c>
      <c r="D53" s="15">
        <f t="shared" si="1"/>
        <v>0.39737917361611025</v>
      </c>
      <c r="E53" s="15">
        <f t="shared" si="2"/>
        <v>0.5</v>
      </c>
    </row>
    <row r="54" spans="2:5" x14ac:dyDescent="0.25">
      <c r="B54" s="4">
        <v>97.5</v>
      </c>
      <c r="C54" s="4">
        <f t="shared" si="3"/>
        <v>20</v>
      </c>
      <c r="D54" s="15">
        <f t="shared" si="1"/>
        <v>0.31136732822973362</v>
      </c>
      <c r="E54" s="15">
        <f t="shared" si="2"/>
        <v>0.49999999999999994</v>
      </c>
    </row>
    <row r="55" spans="2:5" x14ac:dyDescent="0.25">
      <c r="B55" s="4">
        <v>98</v>
      </c>
      <c r="C55" s="4">
        <f t="shared" si="3"/>
        <v>20</v>
      </c>
      <c r="D55" s="15">
        <f t="shared" si="1"/>
        <v>0.23982549557927008</v>
      </c>
      <c r="E55" s="15">
        <f t="shared" si="2"/>
        <v>0.49999999999999994</v>
      </c>
    </row>
    <row r="56" spans="2:5" x14ac:dyDescent="0.25">
      <c r="B56" s="4">
        <v>98.5</v>
      </c>
      <c r="C56" s="4">
        <f t="shared" si="3"/>
        <v>20</v>
      </c>
      <c r="D56" s="15">
        <f t="shared" si="1"/>
        <v>0.18078896804095523</v>
      </c>
      <c r="E56" s="15">
        <f t="shared" si="2"/>
        <v>0.5</v>
      </c>
    </row>
    <row r="57" spans="2:5" x14ac:dyDescent="0.25">
      <c r="B57" s="4">
        <v>99</v>
      </c>
      <c r="C57" s="4">
        <f t="shared" si="3"/>
        <v>20</v>
      </c>
      <c r="D57" s="15">
        <f t="shared" si="1"/>
        <v>0.13258372225356899</v>
      </c>
      <c r="E57" s="15">
        <f t="shared" si="2"/>
        <v>0.5</v>
      </c>
    </row>
    <row r="58" spans="2:5" x14ac:dyDescent="0.25">
      <c r="B58" s="4">
        <v>99.5</v>
      </c>
      <c r="C58" s="4">
        <f t="shared" si="3"/>
        <v>20</v>
      </c>
      <c r="D58" s="15">
        <f t="shared" si="1"/>
        <v>9.3778331167174683E-2</v>
      </c>
      <c r="E58" s="15">
        <f t="shared" si="2"/>
        <v>0.49999999999999989</v>
      </c>
    </row>
    <row r="59" spans="2:5" x14ac:dyDescent="0.25">
      <c r="B59" s="4">
        <v>100</v>
      </c>
      <c r="C59" s="4">
        <f t="shared" si="3"/>
        <v>20</v>
      </c>
      <c r="D59" s="15">
        <f t="shared" si="1"/>
        <v>6.314472199116726E-2</v>
      </c>
      <c r="E59" s="15">
        <f t="shared" si="2"/>
        <v>0.50000000000000011</v>
      </c>
    </row>
    <row r="60" spans="2:5" x14ac:dyDescent="0.25">
      <c r="B60" s="4"/>
      <c r="C60" s="4"/>
      <c r="D60" s="15"/>
      <c r="E60" s="15"/>
    </row>
    <row r="61" spans="2:5" x14ac:dyDescent="0.25">
      <c r="B61" s="4"/>
      <c r="C61" s="4"/>
      <c r="D61" s="15"/>
      <c r="E61" s="15"/>
    </row>
    <row r="62" spans="2:5" x14ac:dyDescent="0.25">
      <c r="B62" s="4"/>
      <c r="C62" s="4"/>
      <c r="D62" s="15"/>
      <c r="E62" s="15"/>
    </row>
    <row r="63" spans="2:5" x14ac:dyDescent="0.25">
      <c r="B63" s="4"/>
      <c r="C63" s="4"/>
      <c r="D63" s="13"/>
    </row>
    <row r="64" spans="2:5" x14ac:dyDescent="0.25">
      <c r="B64" s="4"/>
      <c r="C64" s="4"/>
      <c r="D64" s="13"/>
    </row>
    <row r="65" spans="2:4" x14ac:dyDescent="0.25">
      <c r="B65" s="4"/>
      <c r="C65" s="4"/>
      <c r="D65" s="13"/>
    </row>
    <row r="66" spans="2:4" x14ac:dyDescent="0.25">
      <c r="B66" s="4"/>
      <c r="C66" s="4"/>
      <c r="D66" s="13"/>
    </row>
    <row r="67" spans="2:4" x14ac:dyDescent="0.25">
      <c r="B67" s="4"/>
      <c r="C67" s="4"/>
      <c r="D67" s="13"/>
    </row>
    <row r="68" spans="2:4" x14ac:dyDescent="0.25">
      <c r="B68" s="4"/>
      <c r="C68" s="4"/>
      <c r="D68" s="13"/>
    </row>
    <row r="69" spans="2:4" x14ac:dyDescent="0.25">
      <c r="B69" s="4"/>
      <c r="C69" s="4"/>
      <c r="D69" s="4"/>
    </row>
    <row r="70" spans="2:4" x14ac:dyDescent="0.25">
      <c r="B70" s="4"/>
      <c r="C70" s="4"/>
      <c r="D70" s="4"/>
    </row>
    <row r="71" spans="2:4" x14ac:dyDescent="0.25">
      <c r="B71" s="4"/>
      <c r="C71" s="4"/>
      <c r="D71" s="4"/>
    </row>
    <row r="72" spans="2:4" x14ac:dyDescent="0.25">
      <c r="B72" s="4"/>
      <c r="C72" s="4"/>
      <c r="D72" s="4"/>
    </row>
    <row r="73" spans="2:4" x14ac:dyDescent="0.25">
      <c r="B73" s="4"/>
      <c r="C73" s="4"/>
      <c r="D73" s="4"/>
    </row>
    <row r="74" spans="2:4" x14ac:dyDescent="0.25">
      <c r="B74" s="4"/>
      <c r="C74" s="4"/>
      <c r="D74" s="4"/>
    </row>
    <row r="75" spans="2:4" x14ac:dyDescent="0.25">
      <c r="B75" s="4"/>
      <c r="C75" s="4"/>
      <c r="D75" s="4"/>
    </row>
    <row r="76" spans="2:4" x14ac:dyDescent="0.25">
      <c r="B76" s="4"/>
      <c r="C76" s="4"/>
      <c r="D76" s="4"/>
    </row>
    <row r="77" spans="2:4" x14ac:dyDescent="0.25">
      <c r="B77" s="4"/>
      <c r="C77" s="4"/>
      <c r="D77" s="4"/>
    </row>
    <row r="78" spans="2:4" x14ac:dyDescent="0.25">
      <c r="B78" s="4"/>
      <c r="C78" s="4"/>
      <c r="D78" s="4"/>
    </row>
    <row r="79" spans="2:4" x14ac:dyDescent="0.25">
      <c r="B79" s="4"/>
      <c r="C79" s="4"/>
      <c r="D79" s="4"/>
    </row>
    <row r="80" spans="2:4" x14ac:dyDescent="0.25">
      <c r="B80" s="4"/>
      <c r="C80" s="4"/>
      <c r="D80" s="4"/>
    </row>
    <row r="81" spans="2:4" x14ac:dyDescent="0.25">
      <c r="B81" s="4"/>
      <c r="C81" s="4"/>
      <c r="D81" s="4"/>
    </row>
    <row r="82" spans="2:4" x14ac:dyDescent="0.25">
      <c r="B82" s="4"/>
      <c r="C82" s="4"/>
      <c r="D82" s="4"/>
    </row>
    <row r="83" spans="2:4" x14ac:dyDescent="0.25">
      <c r="B83" s="4"/>
      <c r="C83" s="4"/>
      <c r="D83" s="4"/>
    </row>
    <row r="84" spans="2:4" x14ac:dyDescent="0.25">
      <c r="B84" s="4"/>
      <c r="C84" s="4"/>
      <c r="D84" s="4"/>
    </row>
    <row r="85" spans="2:4" x14ac:dyDescent="0.25">
      <c r="B85" s="4"/>
      <c r="C85" s="4"/>
      <c r="D85" s="4"/>
    </row>
    <row r="86" spans="2:4" x14ac:dyDescent="0.25">
      <c r="B86" s="4"/>
      <c r="C86" s="4"/>
      <c r="D86" s="4"/>
    </row>
    <row r="87" spans="2:4" x14ac:dyDescent="0.25">
      <c r="B87" s="4"/>
      <c r="C87" s="4"/>
      <c r="D87" s="4"/>
    </row>
    <row r="88" spans="2:4" x14ac:dyDescent="0.25">
      <c r="B88" s="4"/>
      <c r="C88" s="4"/>
      <c r="D88" s="4"/>
    </row>
    <row r="89" spans="2:4" x14ac:dyDescent="0.25">
      <c r="B89" s="4"/>
      <c r="C89" s="4"/>
      <c r="D89" s="4"/>
    </row>
    <row r="90" spans="2:4" x14ac:dyDescent="0.25">
      <c r="B90" s="4"/>
      <c r="C90" s="4"/>
      <c r="D90" s="4"/>
    </row>
    <row r="91" spans="2:4" x14ac:dyDescent="0.25">
      <c r="B91" s="4"/>
      <c r="C91" s="4"/>
      <c r="D91" s="4"/>
    </row>
    <row r="92" spans="2:4" x14ac:dyDescent="0.25">
      <c r="B92" s="4"/>
      <c r="C92" s="4"/>
      <c r="D92" s="4"/>
    </row>
    <row r="93" spans="2:4" x14ac:dyDescent="0.25">
      <c r="B93" s="4"/>
      <c r="C93" s="4"/>
    </row>
    <row r="94" spans="2:4" x14ac:dyDescent="0.25">
      <c r="B94" s="4"/>
    </row>
    <row r="95" spans="2:4" x14ac:dyDescent="0.25">
      <c r="B95" s="4"/>
    </row>
    <row r="96" spans="2:4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</sheetData>
  <mergeCells count="1">
    <mergeCell ref="C4:E6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J182"/>
  <sheetViews>
    <sheetView workbookViewId="0">
      <selection activeCell="B12" sqref="B12:B13"/>
    </sheetView>
  </sheetViews>
  <sheetFormatPr defaultRowHeight="15" x14ac:dyDescent="0.25"/>
  <cols>
    <col min="2" max="2" width="49" customWidth="1"/>
    <col min="3" max="3" width="18.85546875" customWidth="1"/>
    <col min="4" max="4" width="44.85546875" bestFit="1" customWidth="1"/>
    <col min="5" max="5" width="19.28515625" customWidth="1"/>
    <col min="8" max="8" width="18.5703125" customWidth="1"/>
    <col min="9" max="9" width="19.7109375" customWidth="1"/>
    <col min="10" max="10" width="15.5703125" customWidth="1"/>
  </cols>
  <sheetData>
    <row r="1" spans="2:10" ht="15.75" thickBot="1" x14ac:dyDescent="0.3"/>
    <row r="2" spans="2:10" x14ac:dyDescent="0.25">
      <c r="B2" s="43"/>
      <c r="C2" s="44"/>
      <c r="D2" s="44"/>
      <c r="E2" s="44"/>
      <c r="F2" s="45"/>
    </row>
    <row r="3" spans="2:10" ht="18.75" x14ac:dyDescent="0.3">
      <c r="B3" s="46" t="s">
        <v>12</v>
      </c>
      <c r="C3" s="27"/>
      <c r="D3" s="33"/>
      <c r="E3" s="33"/>
      <c r="F3" s="30"/>
    </row>
    <row r="4" spans="2:10" ht="18.75" x14ac:dyDescent="0.3">
      <c r="B4" s="46"/>
      <c r="C4" s="63"/>
      <c r="D4" s="63"/>
      <c r="E4" s="63"/>
      <c r="F4" s="30"/>
      <c r="J4" s="2" t="s">
        <v>7</v>
      </c>
    </row>
    <row r="5" spans="2:10" x14ac:dyDescent="0.25">
      <c r="B5" s="31"/>
      <c r="C5" s="63"/>
      <c r="D5" s="63"/>
      <c r="E5" s="63"/>
      <c r="F5" s="30"/>
      <c r="I5" s="1" t="s">
        <v>51</v>
      </c>
      <c r="J5" s="7">
        <v>458000</v>
      </c>
    </row>
    <row r="6" spans="2:10" ht="15" customHeight="1" x14ac:dyDescent="0.25">
      <c r="B6" s="31"/>
      <c r="C6" s="63" t="s">
        <v>38</v>
      </c>
      <c r="D6" s="63"/>
      <c r="E6" s="63"/>
      <c r="F6" s="30"/>
      <c r="H6" s="1"/>
      <c r="I6" s="1" t="s">
        <v>8</v>
      </c>
      <c r="J6">
        <v>0.5</v>
      </c>
    </row>
    <row r="7" spans="2:10" ht="15" customHeight="1" x14ac:dyDescent="0.25">
      <c r="B7" s="31"/>
      <c r="C7" s="33"/>
      <c r="D7" s="33"/>
      <c r="E7" s="33"/>
      <c r="F7" s="30"/>
      <c r="H7" s="1"/>
      <c r="I7" s="1" t="s">
        <v>52</v>
      </c>
      <c r="J7">
        <v>1.2449999999999999E-2</v>
      </c>
    </row>
    <row r="8" spans="2:10" ht="15" customHeight="1" x14ac:dyDescent="0.25">
      <c r="B8" s="31"/>
      <c r="C8" s="33"/>
      <c r="D8" s="33"/>
      <c r="E8" s="33"/>
      <c r="F8" s="30"/>
      <c r="H8" s="1"/>
      <c r="I8" s="1" t="s">
        <v>53</v>
      </c>
      <c r="J8">
        <v>9.5500000000000002E-2</v>
      </c>
    </row>
    <row r="9" spans="2:10" x14ac:dyDescent="0.25">
      <c r="B9" s="31"/>
      <c r="C9" s="33"/>
      <c r="D9" s="33"/>
      <c r="E9" s="33"/>
      <c r="F9" s="30"/>
      <c r="H9" s="1"/>
      <c r="I9" s="1" t="s">
        <v>31</v>
      </c>
      <c r="J9">
        <v>9.8043999999999993</v>
      </c>
    </row>
    <row r="10" spans="2:10" ht="15.75" thickBot="1" x14ac:dyDescent="0.3">
      <c r="B10" s="40"/>
      <c r="C10" s="41"/>
      <c r="D10" s="41"/>
      <c r="E10" s="41"/>
      <c r="F10" s="42"/>
      <c r="H10" s="1"/>
      <c r="I10" s="1" t="s">
        <v>9</v>
      </c>
      <c r="J10" s="3">
        <v>29999.999284744263</v>
      </c>
    </row>
    <row r="11" spans="2:10" x14ac:dyDescent="0.25">
      <c r="B11" s="43"/>
      <c r="C11" s="44"/>
      <c r="D11" s="44"/>
      <c r="E11" s="44"/>
      <c r="F11" s="45"/>
      <c r="H11" s="1"/>
      <c r="I11" s="1" t="s">
        <v>10</v>
      </c>
      <c r="J11">
        <v>8.3140000000000001</v>
      </c>
    </row>
    <row r="12" spans="2:10" ht="18.75" x14ac:dyDescent="0.3">
      <c r="B12" s="58" t="s">
        <v>74</v>
      </c>
      <c r="C12" s="27"/>
      <c r="D12" s="27"/>
      <c r="E12" s="27"/>
      <c r="F12" s="30"/>
    </row>
    <row r="13" spans="2:10" ht="18.75" x14ac:dyDescent="0.3">
      <c r="B13" s="58" t="s">
        <v>75</v>
      </c>
      <c r="C13" s="27"/>
      <c r="D13" s="27"/>
      <c r="E13" s="27"/>
      <c r="F13" s="30"/>
    </row>
    <row r="14" spans="2:10" x14ac:dyDescent="0.25">
      <c r="B14" s="31"/>
      <c r="C14" s="26"/>
      <c r="D14" s="27"/>
      <c r="E14" s="27"/>
      <c r="F14" s="30"/>
    </row>
    <row r="15" spans="2:10" x14ac:dyDescent="0.25">
      <c r="B15" s="29" t="s">
        <v>16</v>
      </c>
      <c r="C15" s="27"/>
      <c r="D15" s="27"/>
      <c r="E15" s="27"/>
      <c r="F15" s="30"/>
    </row>
    <row r="16" spans="2:10" x14ac:dyDescent="0.25">
      <c r="B16" s="29"/>
      <c r="C16" s="27"/>
      <c r="D16" s="27"/>
      <c r="E16" s="27"/>
      <c r="F16" s="30"/>
    </row>
    <row r="17" spans="2:6" x14ac:dyDescent="0.25">
      <c r="B17" s="31"/>
      <c r="C17" s="27"/>
      <c r="D17" s="27"/>
      <c r="E17" s="27"/>
      <c r="F17" s="30"/>
    </row>
    <row r="18" spans="2:6" x14ac:dyDescent="0.25">
      <c r="B18" s="31" t="s">
        <v>49</v>
      </c>
      <c r="C18" s="47">
        <v>95</v>
      </c>
      <c r="D18" s="27" t="s">
        <v>40</v>
      </c>
      <c r="E18" s="27"/>
      <c r="F18" s="30"/>
    </row>
    <row r="19" spans="2:6" x14ac:dyDescent="0.25">
      <c r="B19" s="31"/>
      <c r="C19" s="27"/>
      <c r="D19" s="27"/>
      <c r="E19" s="27"/>
      <c r="F19" s="30"/>
    </row>
    <row r="20" spans="2:6" x14ac:dyDescent="0.25">
      <c r="B20" s="31" t="s">
        <v>45</v>
      </c>
      <c r="C20" s="47">
        <v>1</v>
      </c>
      <c r="D20" s="27" t="s">
        <v>46</v>
      </c>
      <c r="E20" s="27"/>
      <c r="F20" s="30"/>
    </row>
    <row r="21" spans="2:6" x14ac:dyDescent="0.25">
      <c r="B21" s="31"/>
      <c r="C21" s="27"/>
      <c r="D21" s="27"/>
      <c r="E21" s="27"/>
      <c r="F21" s="30"/>
    </row>
    <row r="22" spans="2:6" ht="15.75" thickBot="1" x14ac:dyDescent="0.3">
      <c r="B22" s="40"/>
      <c r="C22" s="41"/>
      <c r="D22" s="41"/>
      <c r="E22" s="41"/>
      <c r="F22" s="42"/>
    </row>
    <row r="25" spans="2:6" x14ac:dyDescent="0.25">
      <c r="B25" t="str">
        <f>"Relative humidity = "&amp;C18&amp;" %"</f>
        <v>Relative humidity = 95 %</v>
      </c>
    </row>
    <row r="26" spans="2:6" x14ac:dyDescent="0.25">
      <c r="B26" t="str">
        <f>"Max Corrosion rate = "&amp;C20&amp;" mm/yr"</f>
        <v>Max Corrosion rate = 1 mm/yr</v>
      </c>
    </row>
    <row r="28" spans="2:6" ht="18" x14ac:dyDescent="0.35">
      <c r="B28" s="4" t="s">
        <v>44</v>
      </c>
      <c r="C28" s="4" t="s">
        <v>43</v>
      </c>
      <c r="D28" s="4" t="s">
        <v>57</v>
      </c>
      <c r="E28" t="s">
        <v>42</v>
      </c>
    </row>
    <row r="29" spans="2:6" x14ac:dyDescent="0.25">
      <c r="B29" s="4">
        <f>$C$18</f>
        <v>95</v>
      </c>
      <c r="C29" s="15">
        <v>15</v>
      </c>
      <c r="D29" s="15">
        <f>($C$20/($J$5*(1-$J$7*B29)/($J$8*B29-$J$9)*EXP(-1*$J$10/($J$11*(C29+273.15)))))^2</f>
        <v>5.7597301206036322</v>
      </c>
      <c r="E29" s="15">
        <f>$J$5*D29^$J$6*((1-$J$7*B29)/($J$8*B29-$J$9))*EXP(-$J$10/$J$11/(C29+273.15))</f>
        <v>0.99999999999999978</v>
      </c>
    </row>
    <row r="30" spans="2:6" x14ac:dyDescent="0.25">
      <c r="B30" s="4">
        <f t="shared" ref="B30:B59" si="0">$C$18</f>
        <v>95</v>
      </c>
      <c r="C30" s="15">
        <v>15.5</v>
      </c>
      <c r="D30" s="15">
        <f t="shared" ref="D30:D59" si="1">($C$20/($J$5*(1-$J$7*B30)/($J$8*B30-$J$9)*EXP(-1*$J$10/($J$11*(C30+273.15)))))^2</f>
        <v>5.5151975576645222</v>
      </c>
      <c r="E30" s="15">
        <f t="shared" ref="E30:E59" si="2">$J$5*D30^$J$6*((1-$J$7*B30)/($J$8*B30-$J$9))*EXP(-$J$10/$J$11/(C30+273.15))</f>
        <v>1</v>
      </c>
    </row>
    <row r="31" spans="2:6" x14ac:dyDescent="0.25">
      <c r="B31" s="4">
        <f t="shared" si="0"/>
        <v>95</v>
      </c>
      <c r="C31" s="15">
        <v>16</v>
      </c>
      <c r="D31" s="15">
        <f t="shared" si="1"/>
        <v>5.2818391723101756</v>
      </c>
      <c r="E31" s="15">
        <f t="shared" si="2"/>
        <v>1.0000000000000018</v>
      </c>
    </row>
    <row r="32" spans="2:6" x14ac:dyDescent="0.25">
      <c r="B32" s="4">
        <f t="shared" si="0"/>
        <v>95</v>
      </c>
      <c r="C32" s="15">
        <v>16.5</v>
      </c>
      <c r="D32" s="15">
        <f t="shared" si="1"/>
        <v>5.0591096847800561</v>
      </c>
      <c r="E32" s="15">
        <f t="shared" si="2"/>
        <v>0.99999999999999811</v>
      </c>
    </row>
    <row r="33" spans="2:5" x14ac:dyDescent="0.25">
      <c r="B33" s="4">
        <f t="shared" si="0"/>
        <v>95</v>
      </c>
      <c r="C33" s="15">
        <v>17</v>
      </c>
      <c r="D33" s="15">
        <f t="shared" si="1"/>
        <v>4.8464920540424821</v>
      </c>
      <c r="E33" s="15">
        <f t="shared" si="2"/>
        <v>0.999999999999998</v>
      </c>
    </row>
    <row r="34" spans="2:5" x14ac:dyDescent="0.25">
      <c r="B34" s="4">
        <f t="shared" si="0"/>
        <v>95</v>
      </c>
      <c r="C34" s="15">
        <v>17.5</v>
      </c>
      <c r="D34" s="15">
        <f t="shared" si="1"/>
        <v>4.6434959336352595</v>
      </c>
      <c r="E34" s="15">
        <f t="shared" si="2"/>
        <v>0.99999999999999989</v>
      </c>
    </row>
    <row r="35" spans="2:5" x14ac:dyDescent="0.25">
      <c r="B35" s="4">
        <f t="shared" si="0"/>
        <v>95</v>
      </c>
      <c r="C35" s="15">
        <v>18</v>
      </c>
      <c r="D35" s="15">
        <f t="shared" si="1"/>
        <v>4.4496562162889317</v>
      </c>
      <c r="E35" s="15">
        <f t="shared" si="2"/>
        <v>0.99999999999999822</v>
      </c>
    </row>
    <row r="36" spans="2:5" x14ac:dyDescent="0.25">
      <c r="B36" s="4">
        <f t="shared" si="0"/>
        <v>95</v>
      </c>
      <c r="C36" s="15">
        <v>18.5</v>
      </c>
      <c r="D36" s="15">
        <f t="shared" si="1"/>
        <v>4.2645316619847566</v>
      </c>
      <c r="E36" s="15">
        <f t="shared" si="2"/>
        <v>0.999999999999998</v>
      </c>
    </row>
    <row r="37" spans="2:5" x14ac:dyDescent="0.25">
      <c r="B37" s="4">
        <f t="shared" si="0"/>
        <v>95</v>
      </c>
      <c r="C37" s="15">
        <v>19</v>
      </c>
      <c r="D37" s="15">
        <f t="shared" si="1"/>
        <v>4.0877036044351627</v>
      </c>
      <c r="E37" s="15">
        <f t="shared" si="2"/>
        <v>1</v>
      </c>
    </row>
    <row r="38" spans="2:5" x14ac:dyDescent="0.25">
      <c r="B38" s="4">
        <f t="shared" si="0"/>
        <v>95</v>
      </c>
      <c r="C38" s="15">
        <v>19.5</v>
      </c>
      <c r="D38" s="15">
        <f t="shared" si="1"/>
        <v>3.9187747312900227</v>
      </c>
      <c r="E38" s="15">
        <f t="shared" si="2"/>
        <v>0.99999999999999989</v>
      </c>
    </row>
    <row r="39" spans="2:5" x14ac:dyDescent="0.25">
      <c r="B39" s="4">
        <f t="shared" si="0"/>
        <v>95</v>
      </c>
      <c r="C39" s="15">
        <v>20</v>
      </c>
      <c r="D39" s="15">
        <f t="shared" si="1"/>
        <v>3.7573679336655346</v>
      </c>
      <c r="E39" s="15">
        <f t="shared" si="2"/>
        <v>0.99999999999999989</v>
      </c>
    </row>
    <row r="40" spans="2:5" x14ac:dyDescent="0.25">
      <c r="B40" s="4">
        <f t="shared" si="0"/>
        <v>95</v>
      </c>
      <c r="C40" s="15">
        <v>20.5</v>
      </c>
      <c r="D40" s="15">
        <f t="shared" si="1"/>
        <v>3.603125220866723</v>
      </c>
      <c r="E40" s="15">
        <f t="shared" si="2"/>
        <v>0.99999999999999989</v>
      </c>
    </row>
    <row r="41" spans="2:5" x14ac:dyDescent="0.25">
      <c r="B41" s="4">
        <f t="shared" si="0"/>
        <v>95</v>
      </c>
      <c r="C41" s="15">
        <v>21</v>
      </c>
      <c r="D41" s="15">
        <f t="shared" si="1"/>
        <v>3.4557066964321836</v>
      </c>
      <c r="E41" s="15">
        <f t="shared" si="2"/>
        <v>0.99999999999999978</v>
      </c>
    </row>
    <row r="42" spans="2:5" x14ac:dyDescent="0.25">
      <c r="B42" s="4">
        <f t="shared" si="0"/>
        <v>95</v>
      </c>
      <c r="C42" s="15">
        <v>21.5</v>
      </c>
      <c r="D42" s="15">
        <f t="shared" si="1"/>
        <v>3.3147895918696375</v>
      </c>
      <c r="E42" s="15">
        <f t="shared" si="2"/>
        <v>0.99999999999999989</v>
      </c>
    </row>
    <row r="43" spans="2:5" x14ac:dyDescent="0.25">
      <c r="B43" s="4">
        <f t="shared" si="0"/>
        <v>95</v>
      </c>
      <c r="C43" s="15">
        <v>22</v>
      </c>
      <c r="D43" s="15">
        <f t="shared" si="1"/>
        <v>3.1800673546753035</v>
      </c>
      <c r="E43" s="15">
        <f t="shared" si="2"/>
        <v>0.99999999999999989</v>
      </c>
    </row>
    <row r="44" spans="2:5" x14ac:dyDescent="0.25">
      <c r="B44" s="4">
        <f t="shared" si="0"/>
        <v>95</v>
      </c>
      <c r="C44" s="15">
        <v>22.5</v>
      </c>
      <c r="D44" s="15">
        <f t="shared" si="1"/>
        <v>3.0512487874406697</v>
      </c>
      <c r="E44" s="15">
        <f t="shared" si="2"/>
        <v>0.99999999999999967</v>
      </c>
    </row>
    <row r="45" spans="2:5" x14ac:dyDescent="0.25">
      <c r="B45" s="4">
        <f t="shared" si="0"/>
        <v>95</v>
      </c>
      <c r="C45" s="15">
        <v>23</v>
      </c>
      <c r="D45" s="15">
        <f t="shared" si="1"/>
        <v>2.9280572350467642</v>
      </c>
      <c r="E45" s="15">
        <f t="shared" si="2"/>
        <v>0.99999999999999978</v>
      </c>
    </row>
    <row r="46" spans="2:5" x14ac:dyDescent="0.25">
      <c r="B46" s="4">
        <f t="shared" si="0"/>
        <v>95</v>
      </c>
      <c r="C46" s="15">
        <v>23.5</v>
      </c>
      <c r="D46" s="15">
        <f t="shared" si="1"/>
        <v>2.8102298171300757</v>
      </c>
      <c r="E46" s="15">
        <f t="shared" si="2"/>
        <v>1</v>
      </c>
    </row>
    <row r="47" spans="2:5" x14ac:dyDescent="0.25">
      <c r="B47" s="4">
        <f t="shared" si="0"/>
        <v>95</v>
      </c>
      <c r="C47" s="15">
        <v>24</v>
      </c>
      <c r="D47" s="15">
        <f t="shared" si="1"/>
        <v>2.6975167031765714</v>
      </c>
      <c r="E47" s="15">
        <f t="shared" si="2"/>
        <v>0.99999999999999989</v>
      </c>
    </row>
    <row r="48" spans="2:5" x14ac:dyDescent="0.25">
      <c r="B48" s="4">
        <f t="shared" si="0"/>
        <v>95</v>
      </c>
      <c r="C48" s="15">
        <v>24.5</v>
      </c>
      <c r="D48" s="15">
        <f t="shared" si="1"/>
        <v>2.5896804277618215</v>
      </c>
      <c r="E48" s="15">
        <f t="shared" si="2"/>
        <v>0.99999999999999978</v>
      </c>
    </row>
    <row r="49" spans="2:5" x14ac:dyDescent="0.25">
      <c r="B49" s="4">
        <f t="shared" si="0"/>
        <v>95</v>
      </c>
      <c r="C49" s="15">
        <v>25</v>
      </c>
      <c r="D49" s="15">
        <f t="shared" si="1"/>
        <v>2.4864952436058427</v>
      </c>
      <c r="E49" s="15">
        <f t="shared" si="2"/>
        <v>1.0000000000000018</v>
      </c>
    </row>
    <row r="50" spans="2:5" x14ac:dyDescent="0.25">
      <c r="B50" s="4">
        <f t="shared" si="0"/>
        <v>95</v>
      </c>
      <c r="C50" s="15">
        <v>25.5</v>
      </c>
      <c r="D50" s="15">
        <f t="shared" si="1"/>
        <v>2.3877465102531406</v>
      </c>
      <c r="E50" s="15">
        <f t="shared" si="2"/>
        <v>0.99999999999999811</v>
      </c>
    </row>
    <row r="51" spans="2:5" x14ac:dyDescent="0.25">
      <c r="B51" s="4">
        <f t="shared" si="0"/>
        <v>95</v>
      </c>
      <c r="C51" s="15">
        <v>26</v>
      </c>
      <c r="D51" s="15">
        <f t="shared" si="1"/>
        <v>2.2932301163209514</v>
      </c>
      <c r="E51" s="15">
        <f t="shared" si="2"/>
        <v>0.99999999999999822</v>
      </c>
    </row>
    <row r="52" spans="2:5" x14ac:dyDescent="0.25">
      <c r="B52" s="4">
        <f t="shared" si="0"/>
        <v>95</v>
      </c>
      <c r="C52" s="15">
        <v>26.5</v>
      </c>
      <c r="D52" s="15">
        <f t="shared" si="1"/>
        <v>2.2027519333823982</v>
      </c>
      <c r="E52" s="15">
        <f t="shared" si="2"/>
        <v>1</v>
      </c>
    </row>
    <row r="53" spans="2:5" x14ac:dyDescent="0.25">
      <c r="B53" s="4">
        <f t="shared" si="0"/>
        <v>95</v>
      </c>
      <c r="C53" s="15">
        <v>27</v>
      </c>
      <c r="D53" s="15">
        <f t="shared" si="1"/>
        <v>2.1161272996682183</v>
      </c>
      <c r="E53" s="15">
        <f t="shared" si="2"/>
        <v>0.99999999999999989</v>
      </c>
    </row>
    <row r="54" spans="2:5" x14ac:dyDescent="0.25">
      <c r="B54" s="4">
        <f t="shared" si="0"/>
        <v>95</v>
      </c>
      <c r="C54" s="15">
        <v>27.5</v>
      </c>
      <c r="D54" s="15">
        <f t="shared" si="1"/>
        <v>2.033180531879502</v>
      </c>
      <c r="E54" s="15">
        <f t="shared" si="2"/>
        <v>0.99999999999999978</v>
      </c>
    </row>
    <row r="55" spans="2:5" x14ac:dyDescent="0.25">
      <c r="B55" s="4">
        <f t="shared" si="0"/>
        <v>95</v>
      </c>
      <c r="C55" s="15">
        <v>28</v>
      </c>
      <c r="D55" s="15">
        <f t="shared" si="1"/>
        <v>1.9537444635059398</v>
      </c>
      <c r="E55" s="15">
        <f t="shared" si="2"/>
        <v>1</v>
      </c>
    </row>
    <row r="56" spans="2:5" x14ac:dyDescent="0.25">
      <c r="B56" s="4">
        <f t="shared" si="0"/>
        <v>95</v>
      </c>
      <c r="C56" s="15">
        <v>28.5</v>
      </c>
      <c r="D56" s="15">
        <f t="shared" si="1"/>
        <v>1.8776600081401973</v>
      </c>
      <c r="E56" s="15">
        <f t="shared" si="2"/>
        <v>1</v>
      </c>
    </row>
    <row r="57" spans="2:5" x14ac:dyDescent="0.25">
      <c r="B57" s="4">
        <f t="shared" si="0"/>
        <v>95</v>
      </c>
      <c r="C57" s="15">
        <v>29</v>
      </c>
      <c r="D57" s="15">
        <f t="shared" si="1"/>
        <v>1.8047757463688978</v>
      </c>
      <c r="E57" s="15">
        <f t="shared" si="2"/>
        <v>0.99999999999999967</v>
      </c>
    </row>
    <row r="58" spans="2:5" x14ac:dyDescent="0.25">
      <c r="B58" s="4">
        <f t="shared" si="0"/>
        <v>95</v>
      </c>
      <c r="C58" s="15">
        <v>29.5</v>
      </c>
      <c r="D58" s="15">
        <f t="shared" si="1"/>
        <v>1.7349475349047512</v>
      </c>
      <c r="E58" s="15">
        <f t="shared" si="2"/>
        <v>0.99999999999999989</v>
      </c>
    </row>
    <row r="59" spans="2:5" x14ac:dyDescent="0.25">
      <c r="B59" s="4">
        <f t="shared" si="0"/>
        <v>95</v>
      </c>
      <c r="C59" s="15">
        <v>30</v>
      </c>
      <c r="D59" s="15">
        <f t="shared" si="1"/>
        <v>1.668038136703698</v>
      </c>
      <c r="E59" s="15">
        <f t="shared" si="2"/>
        <v>0.99999999999999833</v>
      </c>
    </row>
    <row r="60" spans="2:5" x14ac:dyDescent="0.25">
      <c r="B60" s="4"/>
      <c r="C60" s="15"/>
      <c r="D60" s="14"/>
      <c r="E60" s="4"/>
    </row>
    <row r="61" spans="2:5" x14ac:dyDescent="0.25">
      <c r="B61" s="4"/>
      <c r="C61" s="15"/>
      <c r="D61" s="14"/>
      <c r="E61" s="4"/>
    </row>
    <row r="62" spans="2:5" x14ac:dyDescent="0.25">
      <c r="B62" s="4"/>
      <c r="C62" s="15"/>
      <c r="D62" s="14"/>
      <c r="E62" s="4"/>
    </row>
    <row r="63" spans="2:5" x14ac:dyDescent="0.25">
      <c r="B63" s="4"/>
      <c r="C63" s="4"/>
      <c r="D63" s="13"/>
    </row>
    <row r="64" spans="2:5" x14ac:dyDescent="0.25">
      <c r="B64" s="4"/>
      <c r="C64" s="4"/>
      <c r="D64" s="13"/>
    </row>
    <row r="65" spans="2:4" x14ac:dyDescent="0.25">
      <c r="B65" s="4"/>
      <c r="C65" s="4"/>
      <c r="D65" s="13"/>
    </row>
    <row r="66" spans="2:4" x14ac:dyDescent="0.25">
      <c r="B66" s="4"/>
      <c r="C66" s="4"/>
      <c r="D66" s="13"/>
    </row>
    <row r="67" spans="2:4" x14ac:dyDescent="0.25">
      <c r="B67" s="4"/>
      <c r="C67" s="4"/>
      <c r="D67" s="13"/>
    </row>
    <row r="68" spans="2:4" x14ac:dyDescent="0.25">
      <c r="B68" s="4"/>
      <c r="C68" s="4"/>
      <c r="D68" s="13"/>
    </row>
    <row r="69" spans="2:4" x14ac:dyDescent="0.25">
      <c r="B69" s="4"/>
      <c r="C69" s="4"/>
      <c r="D69" s="4"/>
    </row>
    <row r="70" spans="2:4" x14ac:dyDescent="0.25">
      <c r="B70" s="4"/>
      <c r="C70" s="4"/>
      <c r="D70" s="4"/>
    </row>
    <row r="71" spans="2:4" x14ac:dyDescent="0.25">
      <c r="B71" s="4"/>
      <c r="C71" s="4"/>
      <c r="D71" s="4"/>
    </row>
    <row r="72" spans="2:4" x14ac:dyDescent="0.25">
      <c r="B72" s="4"/>
      <c r="C72" s="4"/>
      <c r="D72" s="4"/>
    </row>
    <row r="73" spans="2:4" x14ac:dyDescent="0.25">
      <c r="B73" s="4"/>
      <c r="C73" s="4"/>
      <c r="D73" s="4"/>
    </row>
    <row r="74" spans="2:4" x14ac:dyDescent="0.25">
      <c r="B74" s="4"/>
      <c r="C74" s="4"/>
      <c r="D74" s="4"/>
    </row>
    <row r="75" spans="2:4" x14ac:dyDescent="0.25">
      <c r="B75" s="4"/>
      <c r="C75" s="4"/>
      <c r="D75" s="4"/>
    </row>
    <row r="76" spans="2:4" x14ac:dyDescent="0.25">
      <c r="B76" s="4"/>
      <c r="C76" s="4"/>
      <c r="D76" s="4"/>
    </row>
    <row r="77" spans="2:4" x14ac:dyDescent="0.25">
      <c r="B77" s="4"/>
      <c r="C77" s="4"/>
      <c r="D77" s="4"/>
    </row>
    <row r="78" spans="2:4" x14ac:dyDescent="0.25">
      <c r="B78" s="4"/>
      <c r="C78" s="4"/>
      <c r="D78" s="4"/>
    </row>
    <row r="79" spans="2:4" x14ac:dyDescent="0.25">
      <c r="B79" s="4"/>
      <c r="C79" s="4"/>
      <c r="D79" s="4"/>
    </row>
    <row r="80" spans="2:4" x14ac:dyDescent="0.25">
      <c r="B80" s="4"/>
      <c r="C80" s="4"/>
      <c r="D80" s="4"/>
    </row>
    <row r="81" spans="2:4" x14ac:dyDescent="0.25">
      <c r="B81" s="4"/>
      <c r="C81" s="4"/>
      <c r="D81" s="4"/>
    </row>
    <row r="82" spans="2:4" x14ac:dyDescent="0.25">
      <c r="B82" s="4"/>
      <c r="C82" s="4"/>
      <c r="D82" s="4"/>
    </row>
    <row r="83" spans="2:4" x14ac:dyDescent="0.25">
      <c r="B83" s="4"/>
      <c r="C83" s="4"/>
      <c r="D83" s="4"/>
    </row>
    <row r="84" spans="2:4" x14ac:dyDescent="0.25">
      <c r="B84" s="4"/>
      <c r="C84" s="4"/>
      <c r="D84" s="4"/>
    </row>
    <row r="85" spans="2:4" x14ac:dyDescent="0.25">
      <c r="B85" s="4"/>
      <c r="C85" s="4"/>
      <c r="D85" s="4"/>
    </row>
    <row r="86" spans="2:4" x14ac:dyDescent="0.25">
      <c r="B86" s="4"/>
      <c r="C86" s="4"/>
      <c r="D86" s="4"/>
    </row>
    <row r="87" spans="2:4" x14ac:dyDescent="0.25">
      <c r="B87" s="4"/>
      <c r="C87" s="4"/>
      <c r="D87" s="4"/>
    </row>
    <row r="88" spans="2:4" x14ac:dyDescent="0.25">
      <c r="B88" s="4"/>
      <c r="C88" s="4"/>
      <c r="D88" s="4"/>
    </row>
    <row r="89" spans="2:4" x14ac:dyDescent="0.25">
      <c r="B89" s="4"/>
      <c r="C89" s="4"/>
      <c r="D89" s="4"/>
    </row>
    <row r="90" spans="2:4" x14ac:dyDescent="0.25">
      <c r="B90" s="4"/>
      <c r="C90" s="4"/>
      <c r="D90" s="4"/>
    </row>
    <row r="91" spans="2:4" x14ac:dyDescent="0.25">
      <c r="B91" s="4"/>
      <c r="C91" s="4"/>
      <c r="D91" s="4"/>
    </row>
    <row r="92" spans="2:4" x14ac:dyDescent="0.25">
      <c r="B92" s="4"/>
      <c r="C92" s="4"/>
      <c r="D92" s="4"/>
    </row>
    <row r="93" spans="2:4" x14ac:dyDescent="0.25">
      <c r="B93" s="4"/>
      <c r="C93" s="4"/>
    </row>
    <row r="94" spans="2:4" x14ac:dyDescent="0.25">
      <c r="B94" s="4"/>
    </row>
    <row r="95" spans="2:4" x14ac:dyDescent="0.25">
      <c r="B95" s="4"/>
    </row>
    <row r="96" spans="2:4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</sheetData>
  <mergeCells count="1">
    <mergeCell ref="C4:E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182"/>
  <sheetViews>
    <sheetView workbookViewId="0">
      <selection activeCell="B32" sqref="B32"/>
    </sheetView>
  </sheetViews>
  <sheetFormatPr defaultRowHeight="15" x14ac:dyDescent="0.25"/>
  <cols>
    <col min="2" max="2" width="49" customWidth="1"/>
    <col min="3" max="3" width="18.85546875" customWidth="1"/>
    <col min="4" max="4" width="44.85546875" bestFit="1" customWidth="1"/>
    <col min="5" max="5" width="19.28515625" customWidth="1"/>
    <col min="6" max="6" width="4" bestFit="1" customWidth="1"/>
    <col min="9" max="9" width="18" customWidth="1"/>
    <col min="10" max="10" width="15.140625" customWidth="1"/>
  </cols>
  <sheetData>
    <row r="1" spans="2:10" ht="15.75" thickBot="1" x14ac:dyDescent="0.3"/>
    <row r="2" spans="2:10" x14ac:dyDescent="0.25">
      <c r="B2" s="43"/>
      <c r="C2" s="44"/>
      <c r="D2" s="44"/>
      <c r="E2" s="44"/>
      <c r="F2" s="45"/>
      <c r="G2" s="5"/>
    </row>
    <row r="3" spans="2:10" ht="18.75" x14ac:dyDescent="0.3">
      <c r="B3" s="46" t="s">
        <v>12</v>
      </c>
      <c r="C3" s="27"/>
      <c r="D3" s="33"/>
      <c r="E3" s="33"/>
      <c r="F3" s="30"/>
      <c r="G3" s="5"/>
    </row>
    <row r="4" spans="2:10" ht="18.75" x14ac:dyDescent="0.3">
      <c r="B4" s="46"/>
      <c r="C4" s="63"/>
      <c r="D4" s="63"/>
      <c r="E4" s="63"/>
      <c r="F4" s="30"/>
      <c r="G4" s="5"/>
      <c r="J4" s="2" t="s">
        <v>7</v>
      </c>
    </row>
    <row r="5" spans="2:10" x14ac:dyDescent="0.25">
      <c r="B5" s="31"/>
      <c r="C5" s="63"/>
      <c r="D5" s="63"/>
      <c r="E5" s="63"/>
      <c r="F5" s="30"/>
      <c r="G5" s="5"/>
      <c r="I5" s="1" t="s">
        <v>51</v>
      </c>
      <c r="J5" s="7">
        <v>458000</v>
      </c>
    </row>
    <row r="6" spans="2:10" ht="15" customHeight="1" x14ac:dyDescent="0.25">
      <c r="B6" s="31"/>
      <c r="C6" s="63" t="s">
        <v>38</v>
      </c>
      <c r="D6" s="63"/>
      <c r="E6" s="63"/>
      <c r="F6" s="30"/>
      <c r="G6" s="5"/>
      <c r="I6" s="1" t="s">
        <v>8</v>
      </c>
      <c r="J6">
        <v>0.5</v>
      </c>
    </row>
    <row r="7" spans="2:10" ht="15" customHeight="1" x14ac:dyDescent="0.25">
      <c r="B7" s="31"/>
      <c r="C7" s="33"/>
      <c r="D7" s="33"/>
      <c r="E7" s="33"/>
      <c r="F7" s="30"/>
      <c r="G7" s="5"/>
      <c r="I7" s="1" t="s">
        <v>52</v>
      </c>
      <c r="J7">
        <v>1.2449999999999999E-2</v>
      </c>
    </row>
    <row r="8" spans="2:10" ht="15" customHeight="1" x14ac:dyDescent="0.25">
      <c r="B8" s="31"/>
      <c r="C8" s="33"/>
      <c r="D8" s="33"/>
      <c r="E8" s="33"/>
      <c r="F8" s="30"/>
      <c r="G8" s="5"/>
      <c r="I8" s="1" t="s">
        <v>53</v>
      </c>
      <c r="J8">
        <v>9.5500000000000002E-2</v>
      </c>
    </row>
    <row r="9" spans="2:10" x14ac:dyDescent="0.25">
      <c r="B9" s="31"/>
      <c r="C9" s="33"/>
      <c r="D9" s="33"/>
      <c r="E9" s="33"/>
      <c r="F9" s="30"/>
      <c r="G9" s="5"/>
      <c r="I9" s="1" t="s">
        <v>31</v>
      </c>
      <c r="J9">
        <v>9.8043999999999993</v>
      </c>
    </row>
    <row r="10" spans="2:10" ht="15.75" thickBot="1" x14ac:dyDescent="0.3">
      <c r="B10" s="40"/>
      <c r="C10" s="41"/>
      <c r="D10" s="41"/>
      <c r="E10" s="41"/>
      <c r="F10" s="42"/>
      <c r="G10" s="5"/>
      <c r="I10" s="1" t="s">
        <v>9</v>
      </c>
      <c r="J10" s="3">
        <v>29999.999284744263</v>
      </c>
    </row>
    <row r="11" spans="2:10" x14ac:dyDescent="0.25">
      <c r="B11" s="43"/>
      <c r="C11" s="44"/>
      <c r="D11" s="44"/>
      <c r="E11" s="44"/>
      <c r="F11" s="45"/>
      <c r="G11" s="5"/>
      <c r="I11" s="1" t="s">
        <v>10</v>
      </c>
      <c r="J11">
        <v>8.3140000000000001</v>
      </c>
    </row>
    <row r="12" spans="2:10" ht="18.75" x14ac:dyDescent="0.3">
      <c r="B12" s="58" t="s">
        <v>74</v>
      </c>
      <c r="C12" s="27"/>
      <c r="D12" s="27"/>
      <c r="E12" s="27"/>
      <c r="F12" s="30"/>
      <c r="G12" s="5"/>
    </row>
    <row r="13" spans="2:10" ht="18.75" x14ac:dyDescent="0.3">
      <c r="B13" s="58" t="s">
        <v>75</v>
      </c>
      <c r="C13" s="27"/>
      <c r="D13" s="27"/>
      <c r="E13" s="27"/>
      <c r="F13" s="30"/>
      <c r="G13" s="5"/>
    </row>
    <row r="14" spans="2:10" x14ac:dyDescent="0.25">
      <c r="B14" s="31"/>
      <c r="C14" s="26"/>
      <c r="D14" s="27"/>
      <c r="E14" s="27"/>
      <c r="F14" s="30"/>
      <c r="G14" s="5"/>
    </row>
    <row r="15" spans="2:10" x14ac:dyDescent="0.25">
      <c r="B15" s="29" t="s">
        <v>16</v>
      </c>
      <c r="C15" s="27"/>
      <c r="D15" s="27"/>
      <c r="E15" s="27"/>
      <c r="F15" s="30"/>
      <c r="G15" s="5"/>
    </row>
    <row r="16" spans="2:10" x14ac:dyDescent="0.25">
      <c r="B16" s="29"/>
      <c r="C16" s="27"/>
      <c r="D16" s="27"/>
      <c r="E16" s="27"/>
      <c r="F16" s="30"/>
      <c r="G16" s="5"/>
    </row>
    <row r="17" spans="2:7" x14ac:dyDescent="0.25">
      <c r="B17" s="31"/>
      <c r="C17" s="27"/>
      <c r="D17" s="27"/>
      <c r="E17" s="27"/>
      <c r="F17" s="30"/>
      <c r="G17" s="5"/>
    </row>
    <row r="18" spans="2:7" x14ac:dyDescent="0.25">
      <c r="B18" s="31" t="s">
        <v>48</v>
      </c>
      <c r="C18" s="47">
        <v>10</v>
      </c>
      <c r="D18" s="27" t="s">
        <v>19</v>
      </c>
      <c r="E18" s="27"/>
      <c r="F18" s="30"/>
      <c r="G18" s="5"/>
    </row>
    <row r="19" spans="2:7" x14ac:dyDescent="0.25">
      <c r="B19" s="31"/>
      <c r="C19" s="27"/>
      <c r="D19" s="27"/>
      <c r="E19" s="27"/>
      <c r="F19" s="30"/>
      <c r="G19" s="5"/>
    </row>
    <row r="20" spans="2:7" x14ac:dyDescent="0.25">
      <c r="B20" s="31" t="s">
        <v>45</v>
      </c>
      <c r="C20" s="47">
        <v>1</v>
      </c>
      <c r="D20" s="27" t="s">
        <v>46</v>
      </c>
      <c r="E20" s="27"/>
      <c r="F20" s="30"/>
      <c r="G20" s="5"/>
    </row>
    <row r="21" spans="2:7" x14ac:dyDescent="0.25">
      <c r="B21" s="31"/>
      <c r="C21" s="27"/>
      <c r="D21" s="27"/>
      <c r="E21" s="27"/>
      <c r="F21" s="30"/>
      <c r="G21" s="5"/>
    </row>
    <row r="22" spans="2:7" ht="15.75" thickBot="1" x14ac:dyDescent="0.3">
      <c r="B22" s="40"/>
      <c r="C22" s="41"/>
      <c r="D22" s="41"/>
      <c r="E22" s="41"/>
      <c r="F22" s="42"/>
      <c r="G22" s="5"/>
    </row>
    <row r="25" spans="2:7" x14ac:dyDescent="0.25">
      <c r="B25" t="str">
        <f>"H2S =  "&amp;C18&amp;" ppm"</f>
        <v>H2S =  10 ppm</v>
      </c>
    </row>
    <row r="26" spans="2:7" x14ac:dyDescent="0.25">
      <c r="B26" t="str">
        <f>"Max Corrosion rate = "&amp;C20&amp;" mm/yr"</f>
        <v>Max Corrosion rate = 1 mm/yr</v>
      </c>
    </row>
    <row r="28" spans="2:7" x14ac:dyDescent="0.25">
      <c r="B28" s="4" t="s">
        <v>50</v>
      </c>
      <c r="C28" s="4" t="s">
        <v>43</v>
      </c>
      <c r="D28" s="4" t="s">
        <v>41</v>
      </c>
      <c r="E28" t="s">
        <v>42</v>
      </c>
    </row>
    <row r="29" spans="2:7" x14ac:dyDescent="0.25">
      <c r="B29" s="4">
        <v>85</v>
      </c>
      <c r="C29" s="15">
        <f>-1*$J$10/($J$11*LN($C$20/($J$5*$C$18^$J$6*(1-$J$7*B29)/($J$8*B29-$J$9))))-273.15</f>
        <v>60.340471431373828</v>
      </c>
      <c r="D29" s="14">
        <f>$C$18</f>
        <v>10</v>
      </c>
      <c r="E29" s="15">
        <f>$J$5*D29^$J$6*((1-$J$7*B29)/($J$8*B29-$J$9))*EXP(-$J$10/$J$11/(C29+273.15))</f>
        <v>0.99999999999999922</v>
      </c>
    </row>
    <row r="30" spans="2:7" x14ac:dyDescent="0.25">
      <c r="B30" s="4">
        <v>85.5</v>
      </c>
      <c r="C30" s="15">
        <f t="shared" ref="C30:C59" si="0">-1*$J$10/($J$11*LN($C$20/($J$5*$C$18^$J$6*(1-$J$7*B30)/($J$8*B30-$J$9))))-273.15</f>
        <v>56.373760354892397</v>
      </c>
      <c r="D30" s="14">
        <f t="shared" ref="D30:D45" si="1">$C$18</f>
        <v>10</v>
      </c>
      <c r="E30" s="15">
        <f t="shared" ref="E30:E59" si="2">$J$5*D30^$J$6*((1-$J$7*B30)/($J$8*B30-$J$9))*EXP(-$J$10/$J$11/(C30+273.15))</f>
        <v>0.99999999999999944</v>
      </c>
    </row>
    <row r="31" spans="2:7" x14ac:dyDescent="0.25">
      <c r="B31" s="4">
        <v>86</v>
      </c>
      <c r="C31" s="15">
        <f t="shared" si="0"/>
        <v>52.75079128111679</v>
      </c>
      <c r="D31" s="14">
        <f t="shared" si="1"/>
        <v>10</v>
      </c>
      <c r="E31" s="15">
        <f t="shared" si="2"/>
        <v>0.99999999999999956</v>
      </c>
    </row>
    <row r="32" spans="2:7" x14ac:dyDescent="0.25">
      <c r="B32" s="4">
        <v>86.5</v>
      </c>
      <c r="C32" s="15">
        <f t="shared" si="0"/>
        <v>49.40493035398714</v>
      </c>
      <c r="D32" s="14">
        <f t="shared" si="1"/>
        <v>10</v>
      </c>
      <c r="E32" s="15">
        <f t="shared" si="2"/>
        <v>0.99999999999999922</v>
      </c>
    </row>
    <row r="33" spans="2:5" x14ac:dyDescent="0.25">
      <c r="B33" s="4">
        <v>87</v>
      </c>
      <c r="C33" s="15">
        <f t="shared" si="0"/>
        <v>46.285712776574712</v>
      </c>
      <c r="D33" s="14">
        <f t="shared" si="1"/>
        <v>10</v>
      </c>
      <c r="E33" s="15">
        <f t="shared" si="2"/>
        <v>1.0000000000000018</v>
      </c>
    </row>
    <row r="34" spans="2:5" x14ac:dyDescent="0.25">
      <c r="B34" s="4">
        <v>87.5</v>
      </c>
      <c r="C34" s="15">
        <f t="shared" si="0"/>
        <v>43.353926819402602</v>
      </c>
      <c r="D34" s="14">
        <f t="shared" si="1"/>
        <v>10</v>
      </c>
      <c r="E34" s="15">
        <f t="shared" si="2"/>
        <v>0.99999999999999978</v>
      </c>
    </row>
    <row r="35" spans="2:5" x14ac:dyDescent="0.25">
      <c r="B35" s="4">
        <v>88</v>
      </c>
      <c r="C35" s="15">
        <f t="shared" si="0"/>
        <v>40.578408585310001</v>
      </c>
      <c r="D35" s="14">
        <f t="shared" si="1"/>
        <v>10</v>
      </c>
      <c r="E35" s="15">
        <f t="shared" si="2"/>
        <v>1.0000000000000004</v>
      </c>
    </row>
    <row r="36" spans="2:5" x14ac:dyDescent="0.25">
      <c r="B36" s="4">
        <v>88.5</v>
      </c>
      <c r="C36" s="15">
        <f t="shared" si="0"/>
        <v>37.933878871829108</v>
      </c>
      <c r="D36" s="14">
        <f t="shared" si="1"/>
        <v>10</v>
      </c>
      <c r="E36" s="15">
        <f t="shared" si="2"/>
        <v>0.99999999999999789</v>
      </c>
    </row>
    <row r="37" spans="2:5" x14ac:dyDescent="0.25">
      <c r="B37" s="4">
        <v>89</v>
      </c>
      <c r="C37" s="15">
        <f t="shared" si="0"/>
        <v>35.399438463589547</v>
      </c>
      <c r="D37" s="14">
        <f t="shared" si="1"/>
        <v>10</v>
      </c>
      <c r="E37" s="15">
        <f t="shared" si="2"/>
        <v>0.99999999999999922</v>
      </c>
    </row>
    <row r="38" spans="2:5" x14ac:dyDescent="0.25">
      <c r="B38" s="4">
        <v>89.5</v>
      </c>
      <c r="C38" s="15">
        <f t="shared" si="0"/>
        <v>32.957492368266628</v>
      </c>
      <c r="D38" s="14">
        <f t="shared" si="1"/>
        <v>10</v>
      </c>
      <c r="E38" s="15">
        <f t="shared" si="2"/>
        <v>0.99999999999999811</v>
      </c>
    </row>
    <row r="39" spans="2:5" x14ac:dyDescent="0.25">
      <c r="B39" s="4">
        <v>90</v>
      </c>
      <c r="C39" s="15">
        <f t="shared" si="0"/>
        <v>30.592960638046975</v>
      </c>
      <c r="D39" s="14">
        <f t="shared" si="1"/>
        <v>10</v>
      </c>
      <c r="E39" s="15">
        <f t="shared" si="2"/>
        <v>1.0000000000000004</v>
      </c>
    </row>
    <row r="40" spans="2:5" x14ac:dyDescent="0.25">
      <c r="B40" s="4">
        <v>90.5</v>
      </c>
      <c r="C40" s="15">
        <f t="shared" si="0"/>
        <v>28.292684507876857</v>
      </c>
      <c r="D40" s="14">
        <f t="shared" si="1"/>
        <v>10</v>
      </c>
      <c r="E40" s="15">
        <f t="shared" si="2"/>
        <v>0.99999999999999922</v>
      </c>
    </row>
    <row r="41" spans="2:5" x14ac:dyDescent="0.25">
      <c r="B41" s="4">
        <v>91</v>
      </c>
      <c r="C41" s="15">
        <f t="shared" si="0"/>
        <v>26.04496747651109</v>
      </c>
      <c r="D41" s="14">
        <f t="shared" si="1"/>
        <v>10</v>
      </c>
      <c r="E41" s="15">
        <f t="shared" si="2"/>
        <v>0.99999999999999756</v>
      </c>
    </row>
    <row r="42" spans="2:5" x14ac:dyDescent="0.25">
      <c r="B42" s="4">
        <v>91.5</v>
      </c>
      <c r="C42" s="15">
        <f t="shared" si="0"/>
        <v>23.839210097150328</v>
      </c>
      <c r="D42" s="14">
        <f t="shared" si="1"/>
        <v>10</v>
      </c>
      <c r="E42" s="15">
        <f t="shared" si="2"/>
        <v>0.99999999999999944</v>
      </c>
    </row>
    <row r="43" spans="2:5" x14ac:dyDescent="0.25">
      <c r="B43" s="4">
        <v>92</v>
      </c>
      <c r="C43" s="15">
        <f t="shared" si="0"/>
        <v>21.665609286593963</v>
      </c>
      <c r="D43" s="14">
        <f t="shared" si="1"/>
        <v>10</v>
      </c>
      <c r="E43" s="15">
        <f t="shared" si="2"/>
        <v>0.99999999999999911</v>
      </c>
    </row>
    <row r="44" spans="2:5" x14ac:dyDescent="0.25">
      <c r="B44" s="4">
        <v>92.5</v>
      </c>
      <c r="C44" s="15">
        <f t="shared" si="0"/>
        <v>19.514900540424946</v>
      </c>
      <c r="D44" s="14">
        <f t="shared" si="1"/>
        <v>10</v>
      </c>
      <c r="E44" s="15">
        <f t="shared" si="2"/>
        <v>0.99999999999999778</v>
      </c>
    </row>
    <row r="45" spans="2:5" x14ac:dyDescent="0.25">
      <c r="B45" s="4">
        <v>93</v>
      </c>
      <c r="C45" s="15">
        <f t="shared" si="0"/>
        <v>17.378126064551338</v>
      </c>
      <c r="D45" s="14">
        <f t="shared" si="1"/>
        <v>10</v>
      </c>
      <c r="E45" s="15">
        <f t="shared" si="2"/>
        <v>0.99999999999999845</v>
      </c>
    </row>
    <row r="46" spans="2:5" x14ac:dyDescent="0.25">
      <c r="B46" s="4">
        <v>93.5</v>
      </c>
      <c r="C46" s="15">
        <f t="shared" si="0"/>
        <v>15.246414342659932</v>
      </c>
      <c r="D46" s="14">
        <f t="shared" ref="D46:D59" si="3">$C$18</f>
        <v>10</v>
      </c>
      <c r="E46" s="15">
        <f t="shared" si="2"/>
        <v>0.99999999999999822</v>
      </c>
    </row>
    <row r="47" spans="2:5" x14ac:dyDescent="0.25">
      <c r="B47" s="4">
        <v>94</v>
      </c>
      <c r="C47" s="15">
        <f t="shared" si="0"/>
        <v>13.110757466840539</v>
      </c>
      <c r="D47" s="14">
        <f t="shared" si="3"/>
        <v>10</v>
      </c>
      <c r="E47" s="15">
        <f t="shared" si="2"/>
        <v>1.0000000000000022</v>
      </c>
    </row>
    <row r="48" spans="2:5" x14ac:dyDescent="0.25">
      <c r="B48" s="4">
        <v>94.5</v>
      </c>
      <c r="C48" s="15">
        <f t="shared" si="0"/>
        <v>10.961771750646392</v>
      </c>
      <c r="D48" s="14">
        <f t="shared" si="3"/>
        <v>10</v>
      </c>
      <c r="E48" s="15">
        <f t="shared" si="2"/>
        <v>0.99999999999999989</v>
      </c>
    </row>
    <row r="49" spans="2:5" x14ac:dyDescent="0.25">
      <c r="B49" s="4">
        <v>95</v>
      </c>
      <c r="C49" s="15">
        <f t="shared" si="0"/>
        <v>8.7894244899981686</v>
      </c>
      <c r="D49" s="14">
        <f t="shared" si="3"/>
        <v>10</v>
      </c>
      <c r="E49" s="15">
        <f t="shared" si="2"/>
        <v>1.0000000000000024</v>
      </c>
    </row>
    <row r="50" spans="2:5" x14ac:dyDescent="0.25">
      <c r="B50" s="4">
        <v>95.5</v>
      </c>
      <c r="C50" s="15">
        <f t="shared" si="0"/>
        <v>6.5827046075312978</v>
      </c>
      <c r="D50" s="14">
        <f t="shared" si="3"/>
        <v>10</v>
      </c>
      <c r="E50" s="15">
        <f t="shared" si="2"/>
        <v>0.99999999999999944</v>
      </c>
    </row>
    <row r="51" spans="2:5" x14ac:dyDescent="0.25">
      <c r="B51" s="4">
        <v>96</v>
      </c>
      <c r="C51" s="15">
        <f t="shared" si="0"/>
        <v>4.3292060615160608</v>
      </c>
      <c r="D51" s="14">
        <f t="shared" si="3"/>
        <v>10</v>
      </c>
      <c r="E51" s="15">
        <f t="shared" si="2"/>
        <v>1.0000000000000004</v>
      </c>
    </row>
    <row r="52" spans="2:5" x14ac:dyDescent="0.25">
      <c r="B52" s="4">
        <v>96.5</v>
      </c>
      <c r="C52" s="15">
        <f t="shared" si="0"/>
        <v>2.0145779927228773</v>
      </c>
      <c r="D52" s="14">
        <f t="shared" si="3"/>
        <v>10</v>
      </c>
      <c r="E52" s="15">
        <f t="shared" si="2"/>
        <v>1.0000000000000027</v>
      </c>
    </row>
    <row r="53" spans="2:5" x14ac:dyDescent="0.25">
      <c r="B53" s="4">
        <v>97</v>
      </c>
      <c r="C53" s="15">
        <f t="shared" si="0"/>
        <v>-0.37822973761899448</v>
      </c>
      <c r="D53" s="14">
        <f t="shared" si="3"/>
        <v>10</v>
      </c>
      <c r="E53" s="15">
        <f t="shared" si="2"/>
        <v>0.99999999999999989</v>
      </c>
    </row>
    <row r="54" spans="2:5" x14ac:dyDescent="0.25">
      <c r="B54" s="4">
        <v>97.5</v>
      </c>
      <c r="C54" s="15">
        <f t="shared" si="0"/>
        <v>-2.8700411011499227</v>
      </c>
      <c r="D54" s="14">
        <f t="shared" si="3"/>
        <v>10</v>
      </c>
      <c r="E54" s="15">
        <f t="shared" si="2"/>
        <v>0.99999999999999845</v>
      </c>
    </row>
    <row r="55" spans="2:5" x14ac:dyDescent="0.25">
      <c r="B55" s="4">
        <v>98</v>
      </c>
      <c r="C55" s="15">
        <f t="shared" si="0"/>
        <v>-5.4870438907990433</v>
      </c>
      <c r="D55" s="14">
        <f t="shared" si="3"/>
        <v>10</v>
      </c>
      <c r="E55" s="15">
        <f t="shared" si="2"/>
        <v>1.0000000000000004</v>
      </c>
    </row>
    <row r="56" spans="2:5" x14ac:dyDescent="0.25">
      <c r="B56" s="4">
        <v>98.5</v>
      </c>
      <c r="C56" s="15">
        <f t="shared" si="0"/>
        <v>-8.263241995097701</v>
      </c>
      <c r="D56" s="14">
        <f t="shared" si="3"/>
        <v>10</v>
      </c>
      <c r="E56" s="15">
        <f t="shared" si="2"/>
        <v>1.0000000000000022</v>
      </c>
    </row>
    <row r="57" spans="2:5" x14ac:dyDescent="0.25">
      <c r="B57" s="4">
        <v>99</v>
      </c>
      <c r="C57" s="15">
        <f t="shared" si="0"/>
        <v>-11.244421412477436</v>
      </c>
      <c r="D57" s="14">
        <f t="shared" si="3"/>
        <v>10</v>
      </c>
      <c r="E57" s="15">
        <f t="shared" si="2"/>
        <v>0.99999999999999933</v>
      </c>
    </row>
    <row r="58" spans="2:5" x14ac:dyDescent="0.25">
      <c r="B58" s="4">
        <v>99.5</v>
      </c>
      <c r="C58" s="15">
        <f t="shared" si="0"/>
        <v>-14.494939128345152</v>
      </c>
      <c r="D58" s="14">
        <f t="shared" si="3"/>
        <v>10</v>
      </c>
      <c r="E58" s="15">
        <f t="shared" si="2"/>
        <v>0.99999999999999956</v>
      </c>
    </row>
    <row r="59" spans="2:5" x14ac:dyDescent="0.25">
      <c r="B59" s="4">
        <v>100</v>
      </c>
      <c r="C59" s="15">
        <f t="shared" si="0"/>
        <v>-18.110196429626086</v>
      </c>
      <c r="D59" s="14">
        <f t="shared" si="3"/>
        <v>10</v>
      </c>
      <c r="E59" s="15">
        <f t="shared" si="2"/>
        <v>1.0000000000000013</v>
      </c>
    </row>
    <row r="60" spans="2:5" x14ac:dyDescent="0.25">
      <c r="B60" s="4"/>
      <c r="C60" s="15"/>
      <c r="D60" s="14"/>
      <c r="E60" s="4"/>
    </row>
    <row r="61" spans="2:5" x14ac:dyDescent="0.25">
      <c r="B61" s="4"/>
      <c r="C61" s="15"/>
      <c r="D61" s="14"/>
      <c r="E61" s="4"/>
    </row>
    <row r="62" spans="2:5" x14ac:dyDescent="0.25">
      <c r="B62" s="4"/>
      <c r="C62" s="15"/>
      <c r="D62" s="14"/>
      <c r="E62" s="4"/>
    </row>
    <row r="63" spans="2:5" x14ac:dyDescent="0.25">
      <c r="B63" s="4"/>
      <c r="C63" s="4"/>
      <c r="D63" s="13"/>
    </row>
    <row r="64" spans="2:5" x14ac:dyDescent="0.25">
      <c r="B64" s="4"/>
      <c r="C64" s="4"/>
      <c r="D64" s="13"/>
    </row>
    <row r="65" spans="2:4" x14ac:dyDescent="0.25">
      <c r="B65" s="4"/>
      <c r="C65" s="4"/>
      <c r="D65" s="13"/>
    </row>
    <row r="66" spans="2:4" x14ac:dyDescent="0.25">
      <c r="B66" s="4"/>
      <c r="C66" s="4"/>
      <c r="D66" s="13"/>
    </row>
    <row r="67" spans="2:4" x14ac:dyDescent="0.25">
      <c r="B67" s="4"/>
      <c r="C67" s="4"/>
      <c r="D67" s="13"/>
    </row>
    <row r="68" spans="2:4" x14ac:dyDescent="0.25">
      <c r="B68" s="4"/>
      <c r="C68" s="4"/>
      <c r="D68" s="13"/>
    </row>
    <row r="69" spans="2:4" x14ac:dyDescent="0.25">
      <c r="B69" s="4"/>
      <c r="C69" s="4"/>
      <c r="D69" s="4"/>
    </row>
    <row r="70" spans="2:4" x14ac:dyDescent="0.25">
      <c r="B70" s="4"/>
      <c r="C70" s="4"/>
      <c r="D70" s="4"/>
    </row>
    <row r="71" spans="2:4" x14ac:dyDescent="0.25">
      <c r="B71" s="4"/>
      <c r="C71" s="4"/>
      <c r="D71" s="4"/>
    </row>
    <row r="72" spans="2:4" x14ac:dyDescent="0.25">
      <c r="B72" s="4"/>
      <c r="C72" s="4"/>
      <c r="D72" s="4"/>
    </row>
    <row r="73" spans="2:4" x14ac:dyDescent="0.25">
      <c r="B73" s="4"/>
      <c r="C73" s="4"/>
      <c r="D73" s="4"/>
    </row>
    <row r="74" spans="2:4" x14ac:dyDescent="0.25">
      <c r="B74" s="4"/>
      <c r="C74" s="4"/>
      <c r="D74" s="4"/>
    </row>
    <row r="75" spans="2:4" x14ac:dyDescent="0.25">
      <c r="B75" s="4"/>
      <c r="C75" s="4"/>
      <c r="D75" s="4"/>
    </row>
    <row r="76" spans="2:4" x14ac:dyDescent="0.25">
      <c r="B76" s="4"/>
      <c r="C76" s="4"/>
      <c r="D76" s="4"/>
    </row>
    <row r="77" spans="2:4" x14ac:dyDescent="0.25">
      <c r="B77" s="4"/>
      <c r="C77" s="4"/>
      <c r="D77" s="4"/>
    </row>
    <row r="78" spans="2:4" x14ac:dyDescent="0.25">
      <c r="B78" s="4"/>
      <c r="C78" s="4"/>
      <c r="D78" s="4"/>
    </row>
    <row r="79" spans="2:4" x14ac:dyDescent="0.25">
      <c r="B79" s="4"/>
      <c r="C79" s="4"/>
      <c r="D79" s="4"/>
    </row>
    <row r="80" spans="2:4" x14ac:dyDescent="0.25">
      <c r="B80" s="4"/>
      <c r="C80" s="4"/>
      <c r="D80" s="4"/>
    </row>
    <row r="81" spans="2:4" x14ac:dyDescent="0.25">
      <c r="B81" s="4"/>
      <c r="C81" s="4"/>
      <c r="D81" s="4"/>
    </row>
    <row r="82" spans="2:4" x14ac:dyDescent="0.25">
      <c r="B82" s="4"/>
      <c r="C82" s="4"/>
      <c r="D82" s="4"/>
    </row>
    <row r="83" spans="2:4" x14ac:dyDescent="0.25">
      <c r="B83" s="4"/>
      <c r="C83" s="4"/>
      <c r="D83" s="4"/>
    </row>
    <row r="84" spans="2:4" x14ac:dyDescent="0.25">
      <c r="B84" s="4"/>
      <c r="C84" s="4"/>
      <c r="D84" s="4"/>
    </row>
    <row r="85" spans="2:4" x14ac:dyDescent="0.25">
      <c r="B85" s="4"/>
      <c r="C85" s="4"/>
      <c r="D85" s="4"/>
    </row>
    <row r="86" spans="2:4" x14ac:dyDescent="0.25">
      <c r="B86" s="4"/>
      <c r="C86" s="4"/>
      <c r="D86" s="4"/>
    </row>
    <row r="87" spans="2:4" x14ac:dyDescent="0.25">
      <c r="B87" s="4"/>
      <c r="C87" s="4"/>
      <c r="D87" s="4"/>
    </row>
    <row r="88" spans="2:4" x14ac:dyDescent="0.25">
      <c r="B88" s="4"/>
      <c r="C88" s="4"/>
      <c r="D88" s="4"/>
    </row>
    <row r="89" spans="2:4" x14ac:dyDescent="0.25">
      <c r="B89" s="4"/>
      <c r="C89" s="4"/>
      <c r="D89" s="4"/>
    </row>
    <row r="90" spans="2:4" x14ac:dyDescent="0.25">
      <c r="B90" s="4"/>
      <c r="C90" s="4"/>
      <c r="D90" s="4"/>
    </row>
    <row r="91" spans="2:4" x14ac:dyDescent="0.25">
      <c r="B91" s="4"/>
      <c r="C91" s="4"/>
      <c r="D91" s="4"/>
    </row>
    <row r="92" spans="2:4" x14ac:dyDescent="0.25">
      <c r="B92" s="4"/>
      <c r="C92" s="4"/>
      <c r="D92" s="4"/>
    </row>
    <row r="93" spans="2:4" x14ac:dyDescent="0.25">
      <c r="B93" s="4"/>
      <c r="C93" s="4"/>
    </row>
    <row r="94" spans="2:4" x14ac:dyDescent="0.25">
      <c r="B94" s="4"/>
    </row>
    <row r="95" spans="2:4" x14ac:dyDescent="0.25">
      <c r="B95" s="4"/>
    </row>
    <row r="96" spans="2:4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</sheetData>
  <mergeCells count="1">
    <mergeCell ref="C4:E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The model</vt:lpstr>
      <vt:lpstr>Service life prediction excel</vt:lpstr>
      <vt:lpstr>Low corrosion guide Const  T</vt:lpstr>
      <vt:lpstr>Low corrosion guide Const  RH</vt:lpstr>
      <vt:lpstr>Low corrosion guide Const  H2S</vt:lpstr>
      <vt:lpstr>'The model'!_Ref370982142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paw447</dc:creator>
  <cp:lastModifiedBy>paw447</cp:lastModifiedBy>
  <dcterms:created xsi:type="dcterms:W3CDTF">2013-10-27T01:37:34Z</dcterms:created>
  <dcterms:modified xsi:type="dcterms:W3CDTF">2013-11-14T04:32:50Z</dcterms:modified>
</cp:coreProperties>
</file>